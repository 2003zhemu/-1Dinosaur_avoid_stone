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7" windowHeight="12375" tabRatio="519" activeTab="3"/>
  </bookViews>
  <sheets>
    <sheet name="有序集" sheetId="2" r:id="rId1"/>
    <sheet name="值" sheetId="9" r:id="rId2"/>
    <sheet name="符号" sheetId="5" r:id="rId3"/>
    <sheet name="逻辑" sheetId="4" r:id="rId4"/>
    <sheet name="能力" sheetId="10" r:id="rId5"/>
    <sheet name="命令" sheetId="8" r:id="rId6"/>
    <sheet name="插件" sheetId="11" r:id="rId7"/>
    <sheet name="触发器" sheetId="12" r:id="rId8"/>
    <sheet name="委托" sheetId="13" r:id="rId9"/>
    <sheet name="Roblox API" sheetId="14" r:id="rId10"/>
    <sheet name="其他" sheetId="15" r:id="rId11"/>
    <sheet name="Roblox 类型定义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<sst xmlns="http://schemas.openxmlformats.org/spreadsheetml/2006/main" count="849" uniqueCount="328">
  <si>
    <t>##var</t>
  </si>
  <si>
    <t>full_name</t>
  </si>
  <si>
    <t>parent</t>
  </si>
  <si>
    <t>operator</t>
  </si>
  <si>
    <t>alias</t>
  </si>
  <si>
    <t>comment</t>
  </si>
  <si>
    <t>*fields</t>
  </si>
  <si>
    <t>sep</t>
  </si>
  <si>
    <t>tags</t>
  </si>
  <si>
    <t>valueType</t>
  </si>
  <si>
    <t>group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</si>
  <si>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</si>
  <si>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</si>
  <si>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</si>
  <si>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</si>
  <si>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</si>
  <si>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该配置对应的操作类</t>
  </si>
  <si>
    <t>别名</t>
  </si>
  <si>
    <t>字段名</t>
  </si>
  <si>
    <t>类型</t>
  </si>
  <si>
    <t>注释</t>
  </si>
  <si>
    <t>分组</t>
  </si>
  <si>
    <t>分割符</t>
  </si>
  <si>
    <t>"----------------------------------------------------          值集       ---------------------------------------------------"</t>
  </si>
  <si>
    <t>Core.CfgSortSet</t>
  </si>
  <si>
    <t>有序集</t>
  </si>
  <si>
    <t>Id</t>
  </si>
  <si>
    <t>string</t>
  </si>
  <si>
    <t>编号</t>
  </si>
  <si>
    <t>md1=基础#md2=有序集</t>
  </si>
  <si>
    <t>Name</t>
  </si>
  <si>
    <t>Values</t>
  </si>
  <si>
    <t>array,Core.SortSetMember</t>
  </si>
  <si>
    <t>Core.SortSetMember</t>
  </si>
  <si>
    <t>有序集成员</t>
  </si>
  <si>
    <t>Value</t>
  </si>
  <si>
    <t>int#range=[0,]</t>
  </si>
  <si>
    <t>CustomValues</t>
  </si>
  <si>
    <t>map,string,long</t>
  </si>
  <si>
    <t>Properties</t>
  </si>
  <si>
    <t>map,string,Property.CfgPropertyStackGroupBase</t>
  </si>
  <si>
    <t>Items</t>
  </si>
  <si>
    <t>map,string,Item.CfgItemStackGroupBase</t>
  </si>
  <si>
    <t>Core.CfgRange</t>
  </si>
  <si>
    <t>Min</t>
  </si>
  <si>
    <t>long</t>
  </si>
  <si>
    <t>md1=基础#md2=值</t>
  </si>
  <si>
    <t>Max</t>
  </si>
  <si>
    <t>Core.CfgValue</t>
  </si>
  <si>
    <t>值提供者基类</t>
  </si>
  <si>
    <t>Core.CfgMaxOfValues</t>
  </si>
  <si>
    <t>取最大值</t>
  </si>
  <si>
    <t>取出数组中最大的一格值</t>
  </si>
  <si>
    <t>array,Core.CfgValueBase2</t>
  </si>
  <si>
    <t>Core.CfgMinOfValues</t>
  </si>
  <si>
    <t>取最小值</t>
  </si>
  <si>
    <t>取出数组中最小的值</t>
  </si>
  <si>
    <t>Core.CfgValueBase2</t>
  </si>
  <si>
    <t>值提供者基类2</t>
  </si>
  <si>
    <t>Core.CfgStringValue</t>
  </si>
  <si>
    <t>字符串值</t>
  </si>
  <si>
    <t>Core.CfgLiteralValue</t>
  </si>
  <si>
    <t>字面值</t>
  </si>
  <si>
    <t>int</t>
  </si>
  <si>
    <t>Core.CfgQueryValue</t>
  </si>
  <si>
    <t>查询值</t>
  </si>
  <si>
    <t>查询结果将作为值</t>
  </si>
  <si>
    <t>Query</t>
  </si>
  <si>
    <t>Core.CfgQuery#sep=,</t>
  </si>
  <si>
    <t>Core.CfgSimpleMathFormulaValue</t>
  </si>
  <si>
    <t>简单数学公式值</t>
  </si>
  <si>
    <t>简单计算数学公式</t>
  </si>
  <si>
    <t>ValueLeft</t>
  </si>
  <si>
    <t>左边的值</t>
  </si>
  <si>
    <t>MathOperator</t>
  </si>
  <si>
    <t>Core.CfgMathOperator</t>
  </si>
  <si>
    <t>符号</t>
  </si>
  <si>
    <t>ValueRight</t>
  </si>
  <si>
    <t>右边的值</t>
  </si>
  <si>
    <t>Core.CfgMathFormulaValue</t>
  </si>
  <si>
    <t>数学公式值</t>
  </si>
  <si>
    <t>计算数学公式</t>
  </si>
  <si>
    <t>ChainMathFormula</t>
  </si>
  <si>
    <t>Core.CfgChainMathFormula</t>
  </si>
  <si>
    <t>Core.CfgComplexQueryValue</t>
  </si>
  <si>
    <t>复杂查询值</t>
  </si>
  <si>
    <t>Core.CfgComplexQuery</t>
  </si>
  <si>
    <t>Core.CfgFloatValue</t>
  </si>
  <si>
    <t>浮点值</t>
  </si>
  <si>
    <t>float</t>
  </si>
  <si>
    <t>补充字面值</t>
  </si>
  <si>
    <t>Core.CfgConstValue</t>
  </si>
  <si>
    <t>wdm.WuKong.Core.Plugins.ConstPlugin,wdm.WuKong</t>
  </si>
  <si>
    <t>常量值</t>
  </si>
  <si>
    <t>Key</t>
  </si>
  <si>
    <t>string#ref=Core.TbConst</t>
  </si>
  <si>
    <t>从常量表中获取浮点值</t>
  </si>
  <si>
    <t>Core.CfgAdditionValue</t>
  </si>
  <si>
    <t>加成值</t>
  </si>
  <si>
    <t>需要两个参数:
1. BaseValue
2. AdditionPercent
结果= BaseValue * (1 + AdditionPercent)</t>
  </si>
  <si>
    <t>BaseValue</t>
  </si>
  <si>
    <t>AdditionPercent</t>
  </si>
  <si>
    <t>Core.CfgRandomValue</t>
  </si>
  <si>
    <t>随机值</t>
  </si>
  <si>
    <t>随机整数值, 
需填最小和最大值,
大于等于最小值,小于等于最大值
以 | 分割 (逗号分割会被excel认为是数字)</t>
  </si>
  <si>
    <t>Range</t>
  </si>
  <si>
    <t>Core.CfgRange#sep=|</t>
  </si>
  <si>
    <t>范围</t>
  </si>
  <si>
    <t>Core.CfgChanceAdditionValue</t>
  </si>
  <si>
    <t>概率加成值</t>
  </si>
  <si>
    <t>有概率加成的值,如果未命中,则为 BaseValue
1. BaseValue
2. AdditionPercent
3. Chance (决定是否加成)
结果= BaseValue * (1 + AdditionPercent)</t>
  </si>
  <si>
    <t>基础值</t>
  </si>
  <si>
    <t>加成比例</t>
  </si>
  <si>
    <t>Chance</t>
  </si>
  <si>
    <t>命中概率</t>
  </si>
  <si>
    <t>Core.CfgLogicValue</t>
  </si>
  <si>
    <t>逻辑值</t>
  </si>
  <si>
    <t>先进行逻辑判断, 根据结果的真假, 返回对应值</t>
  </si>
  <si>
    <t>Logic</t>
  </si>
  <si>
    <t>Core.CfgLogic</t>
  </si>
  <si>
    <t>假设条件</t>
  </si>
  <si>
    <t>TrueValue</t>
  </si>
  <si>
    <t>如果为真,则其值</t>
  </si>
  <si>
    <t>FalseValue</t>
  </si>
  <si>
    <t>如果为假,则其值</t>
  </si>
  <si>
    <t>Core.CfgComparer</t>
  </si>
  <si>
    <t>比较符号</t>
  </si>
  <si>
    <t>Symbol</t>
  </si>
  <si>
    <t>md1=基础#md2=公式</t>
  </si>
  <si>
    <t>Core.CfgCompareFormula</t>
  </si>
  <si>
    <t>比较公式</t>
  </si>
  <si>
    <t>Comparer</t>
  </si>
  <si>
    <t>数学符号</t>
  </si>
  <si>
    <t>仅支持加减乘除</t>
  </si>
  <si>
    <t>Core.CfgMathFormula</t>
  </si>
  <si>
    <t>数学公式</t>
  </si>
  <si>
    <t>数学公式链</t>
  </si>
  <si>
    <t>Chains</t>
  </si>
  <si>
    <t>array,Core.CfgMathFormula</t>
  </si>
  <si>
    <t>每条的结果将作为下条的输入</t>
  </si>
  <si>
    <t>逻辑适配器基类</t>
  </si>
  <si>
    <t>md1=基础#md2=逻辑</t>
  </si>
  <si>
    <t>Core.CfgInDateTimeRangeLogic</t>
  </si>
  <si>
    <t>wdm.WuKong.Core.Logic.InDateTimeRangeLogic,wdm.WuKong</t>
  </si>
  <si>
    <t>是否在时间范围内</t>
  </si>
  <si>
    <t>DateTimeRange</t>
  </si>
  <si>
    <t>Core.DateTimeRange</t>
  </si>
  <si>
    <t>Core.CfgSingleLogicBase</t>
  </si>
  <si>
    <t>单逻辑基类</t>
  </si>
  <si>
    <t>Core.CfgQuery</t>
  </si>
  <si>
    <t>查询,要求必须返回布尔值或者Validation</t>
  </si>
  <si>
    <t>Core.CfgStringEqualLogic</t>
  </si>
  <si>
    <t>wdm.WuKong.Core.Logic.StringEqualLogic,wdm.WuKong</t>
  </si>
  <si>
    <t>字符串相等比较</t>
  </si>
  <si>
    <t>EqualTo</t>
  </si>
  <si>
    <t>Core.CfgExpectTrueLogic</t>
  </si>
  <si>
    <t>wdm.WuKong.Core.Logic.ExpectTrueLogic,wdm.WuKong</t>
  </si>
  <si>
    <t>真</t>
  </si>
  <si>
    <t>Core.CfgExpectFalseLogic</t>
  </si>
  <si>
    <t>wdm.WuKong.Core.Logic.ExpectFalseLogic,wdm.WuKong</t>
  </si>
  <si>
    <t>假</t>
  </si>
  <si>
    <t>Core.CfgDelegateLogic</t>
  </si>
  <si>
    <t>wdm.WuKong.Core.Logic.DelegateLogic,wdm.WuKong</t>
  </si>
  <si>
    <t>委托结果比较</t>
  </si>
  <si>
    <t>调用委托,并判断结果</t>
  </si>
  <si>
    <t>Delegate</t>
  </si>
  <si>
    <t>Core.CfgDelegateBoolean</t>
  </si>
  <si>
    <t>Core.CfgComparerLogic</t>
  </si>
  <si>
    <t>wdm.WuKong.Core.Logic.ComparerLogic,wdm.WuKong</t>
  </si>
  <si>
    <t>值比较</t>
  </si>
  <si>
    <t>Core.EComparer</t>
  </si>
  <si>
    <t>比较值</t>
  </si>
  <si>
    <t>Core.CfgQueryComparerLogic</t>
  </si>
  <si>
    <t>wdm.WuKong.Core.Logic.QueryComparerLogic,wdm.WuKong</t>
  </si>
  <si>
    <t>查询比较</t>
  </si>
  <si>
    <t>右查询,要求查询结果必须为数字</t>
  </si>
  <si>
    <t>Core.CfgMultipleLogicBase</t>
  </si>
  <si>
    <t>多逻辑基类</t>
  </si>
  <si>
    <t>Logics</t>
  </si>
  <si>
    <t>array,Core.CfgLogic</t>
  </si>
  <si>
    <t>逻辑列表</t>
  </si>
  <si>
    <t>Core.CfgAllTrueLogic</t>
  </si>
  <si>
    <t>wdm.WuKong.Core.Logic.AllTrueLogic,wdm.WuKong</t>
  </si>
  <si>
    <t>全真</t>
  </si>
  <si>
    <t>全部为真则通过</t>
  </si>
  <si>
    <t>Core.CfgAllFalseLogic</t>
  </si>
  <si>
    <t>wdm.WuKong.Core.Logic.AllFalseLogic,wdm.WuKong</t>
  </si>
  <si>
    <t>全假</t>
  </si>
  <si>
    <t>全部为假则通过</t>
  </si>
  <si>
    <t>Core.CfgAnyTrueLogic</t>
  </si>
  <si>
    <t>wdm.WuKong.Core.Logic.AnyTrueLogic,wdm.WuKong</t>
  </si>
  <si>
    <t>任意真</t>
  </si>
  <si>
    <t>任意为真则通过</t>
  </si>
  <si>
    <t>Core.CfgAnyFalseLogic</t>
  </si>
  <si>
    <t>wdm.WuKong.Core.Logic.AnyFalseLogic,wdm.WuKong</t>
  </si>
  <si>
    <t>任意假</t>
  </si>
  <si>
    <t>任意为假则通过</t>
  </si>
  <si>
    <t>Core.CfgContainerLocation</t>
  </si>
  <si>
    <t>容器路径</t>
  </si>
  <si>
    <t>Path</t>
  </si>
  <si>
    <t>md1=基础#md2=能力</t>
  </si>
  <si>
    <t>Core.CfgAbilityLocation</t>
  </si>
  <si>
    <t>能力路径</t>
  </si>
  <si>
    <t>格式为 xx.xx[xx] , 定位到容器的插件能力</t>
  </si>
  <si>
    <t>查询配置</t>
  </si>
  <si>
    <t>Location</t>
  </si>
  <si>
    <t>Args</t>
  </si>
  <si>
    <t>array,string</t>
  </si>
  <si>
    <t>参数数组</t>
  </si>
  <si>
    <t>复杂查询</t>
  </si>
  <si>
    <t>array,Core.CfgValue</t>
  </si>
  <si>
    <t>Core.CfgActionBase</t>
  </si>
  <si>
    <t>行动基类</t>
  </si>
  <si>
    <t>Core.CfgAction</t>
  </si>
  <si>
    <t>默认行动</t>
  </si>
  <si>
    <t>Core.CfgComplexAction</t>
  </si>
  <si>
    <t>复杂行动</t>
  </si>
  <si>
    <t>行动的参数通过值获取</t>
  </si>
  <si>
    <t>Core.CfgLogicAction</t>
  </si>
  <si>
    <t>逻辑行动</t>
  </si>
  <si>
    <t>逻辑为真的时候行动</t>
  </si>
  <si>
    <t>Action</t>
  </si>
  <si>
    <t>Core.CfgMultipleAction</t>
  </si>
  <si>
    <t>多个行动</t>
  </si>
  <si>
    <t>执行多个行动</t>
  </si>
  <si>
    <t>Actions</t>
  </si>
  <si>
    <t>array,Core.CfgActionBase</t>
  </si>
  <si>
    <t>Core.CfgActionWithQueryArgs</t>
  </si>
  <si>
    <t>查询参数行动</t>
  </si>
  <si>
    <t>行动的参数通过查询获取</t>
  </si>
  <si>
    <t>array,Core.CfgQuery</t>
  </si>
  <si>
    <t>查询数组</t>
  </si>
  <si>
    <t>Core.CfgCommand</t>
  </si>
  <si>
    <t>命令</t>
  </si>
  <si>
    <t>标识</t>
  </si>
  <si>
    <t>md1=基础#md2=命令</t>
  </si>
  <si>
    <t>Admin</t>
  </si>
  <si>
    <t>bool</t>
  </si>
  <si>
    <t>仅限管理员</t>
  </si>
  <si>
    <t>Receiver</t>
  </si>
  <si>
    <t>接收者</t>
  </si>
  <si>
    <t>逻辑</t>
  </si>
  <si>
    <t>行动</t>
  </si>
  <si>
    <t>"----------------------------------------------------          插件       ---------------------------------------------------"</t>
  </si>
  <si>
    <t>Core.CfgPluginBase</t>
  </si>
  <si>
    <t>插件基类</t>
  </si>
  <si>
    <t>md1=基础#md2=插件</t>
  </si>
  <si>
    <t>"----------------------------------------------------          执行命令插件       ---------------------------------------------------"</t>
  </si>
  <si>
    <t>Core.CfgExecuteLogicPlugin</t>
  </si>
  <si>
    <t>执行命令插件</t>
  </si>
  <si>
    <t>待执行命令</t>
  </si>
  <si>
    <t>"----------------------------------------------------          Lua插件       ---------------------------------------------------"</t>
  </si>
  <si>
    <t>Core.CfgLuaPlugin</t>
  </si>
  <si>
    <t>wdm.WuKong.Ioc.PluginLuaExecutor,wdm.WuKong.Ioc</t>
  </si>
  <si>
    <t>Lua执行器</t>
  </si>
  <si>
    <t>提供查询和行动,用来执行指定路径的lua 函数</t>
  </si>
  <si>
    <t>Core.CfgLuaExtensionPlugin</t>
  </si>
  <si>
    <t>wdm.WuKong.Ioc.PluginLuaInterfaces,wdm.WuKong.Ioc</t>
  </si>
  <si>
    <t>Lua接口</t>
  </si>
  <si>
    <t>作废</t>
  </si>
  <si>
    <t>Extensions</t>
  </si>
  <si>
    <t>map,string,string</t>
  </si>
  <si>
    <t>接口字典
key: 接口名称
value: 接口地址(ReplicatedStoraged.ModuleName.FunctionName)</t>
  </si>
  <si>
    <t>"----------------------------------------------------          路由插件       ---------------------------------------------------"</t>
  </si>
  <si>
    <t>Core.CfgOnlyServerRoute</t>
  </si>
  <si>
    <t>wdm.WuKong.Core.Plugins.OnlyServerRoutePlugin,wdm.WuKong</t>
  </si>
  <si>
    <t>仅服务端调用</t>
  </si>
  <si>
    <t>"----------------------------------------------------          其他      ---------------------------------------------------"</t>
  </si>
  <si>
    <t>Core.CfgOrderIndexPlugin</t>
  </si>
  <si>
    <t>wdm.WuKong.Core.Plugins.OrderIndexPlugin,wdm.WuKong</t>
  </si>
  <si>
    <t>序号</t>
  </si>
  <si>
    <t>Order</t>
  </si>
  <si>
    <t>"----------------------------------------------------          触发器       ---------------------------------------------------"</t>
  </si>
  <si>
    <t>Core.CfgTriggerBase</t>
  </si>
  <si>
    <t>触发器基类</t>
  </si>
  <si>
    <t>md1=基础#md2=触发器</t>
  </si>
  <si>
    <t>Core.CfgTriggerAction</t>
  </si>
  <si>
    <t>触发行动触发器</t>
  </si>
  <si>
    <t>"----------------------------------------------------          委托       ---------------------------------------------------"</t>
  </si>
  <si>
    <t>Core.CfgDelegateBase</t>
  </si>
  <si>
    <t>委托基类</t>
  </si>
  <si>
    <t>ModulePath</t>
  </si>
  <si>
    <t>委托函数所在文件名.
该文件需要以ModuleScript形式,
存在于 ReplicateStorage.WuKongHandlers里面</t>
  </si>
  <si>
    <t xml:space="preserve">
</t>
  </si>
  <si>
    <t>md1=基础#md2=委托</t>
  </si>
  <si>
    <t>MethodName</t>
  </si>
  <si>
    <t>委托函数名</t>
  </si>
  <si>
    <t>参数</t>
  </si>
  <si>
    <t>布尔委托</t>
  </si>
  <si>
    <t>调用委托,并返回布尔值</t>
  </si>
  <si>
    <t>Core.CfgDelegateNumber</t>
  </si>
  <si>
    <t>整型委托</t>
  </si>
  <si>
    <t>调用委托,并返回整型值</t>
  </si>
  <si>
    <t>Core.CfgDelegateFloat</t>
  </si>
  <si>
    <t>浮点型委托</t>
  </si>
  <si>
    <t>调用委托,并返回浮点值</t>
  </si>
  <si>
    <t>"----------------------------------------------------          罗布乐思       ---------------------------------------------------"</t>
  </si>
  <si>
    <t>Core.CfgRobloxApiPlugin</t>
  </si>
  <si>
    <t>Property.CfgValueTypeBase</t>
  </si>
  <si>
    <t>wdm.WuKong.Ioc.RobloxApiPlugin,wdm.WuKong.Ioc</t>
  </si>
  <si>
    <t>罗布乐思接口</t>
  </si>
  <si>
    <t>md1=基础#md2=罗布乐思</t>
  </si>
  <si>
    <t>时间范围</t>
  </si>
  <si>
    <t>Start</t>
  </si>
  <si>
    <t>datetime?</t>
  </si>
  <si>
    <t>开始时间，可以不填</t>
  </si>
  <si>
    <t>md1=基础#md2=其他</t>
  </si>
  <si>
    <t>End</t>
  </si>
  <si>
    <t>结束时间，可以不填</t>
  </si>
  <si>
    <t>Core.Index</t>
  </si>
  <si>
    <t>索引</t>
  </si>
  <si>
    <t>Description</t>
  </si>
  <si>
    <t>(array#sep=,),string</t>
  </si>
  <si>
    <t>描述,逗号分割的数组</t>
  </si>
  <si>
    <t>Route.CfgPattern</t>
  </si>
  <si>
    <t>路由模式</t>
  </si>
  <si>
    <t>Pattern</t>
  </si>
  <si>
    <t>IsAllow</t>
  </si>
  <si>
    <t>Core.CfgConst</t>
  </si>
  <si>
    <t>常量定义</t>
  </si>
  <si>
    <t>StringValue</t>
  </si>
  <si>
    <t>string?</t>
  </si>
  <si>
    <t>Vector2</t>
  </si>
  <si>
    <t>X</t>
  </si>
  <si>
    <t>,</t>
  </si>
  <si>
    <t>Y</t>
  </si>
  <si>
    <t>Vector3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</si>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</sst>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2"/>
      <color rgb="FF1C1E21"/>
      <name val="Segoe UI"/>
      <charset val="134"/>
    </font>
    <font>
      <sz val="11"/>
      <color theme="0" tint="-0.25"/>
      <name val="等线"/>
      <charset val="134"/>
      <scheme val="minor"/>
    </font>
    <font>
      <strike/>
      <sz val="11"/>
      <color theme="1"/>
      <name val="等线"/>
      <charset val="134"/>
      <scheme val="minor"/>
    </font>
    <font>
      <strike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ill="1" applyAlignment="1"/>
    <xf numFmtId="0" fontId="1" fillId="2" borderId="1" xfId="23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shrinkToFit="1"/>
    </xf>
    <xf numFmtId="0" fontId="2" fillId="3" borderId="1" xfId="22" applyBorder="1" applyAlignment="1">
      <alignment horizontal="center" vertical="center"/>
    </xf>
    <xf numFmtId="0" fontId="1" fillId="4" borderId="1" xfId="23" applyBorder="1" applyAlignment="1">
      <alignment vertical="center"/>
    </xf>
    <xf numFmtId="0" fontId="1" fillId="4" borderId="1" xfId="23" applyBorder="1" applyAlignment="1">
      <alignment vertical="center" shrinkToFit="1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 shrinkToFit="1"/>
    </xf>
    <xf numFmtId="0" fontId="0" fillId="0" borderId="0" xfId="0" applyFill="1" applyAlignment="1">
      <alignment horizontal="left"/>
    </xf>
    <xf numFmtId="0" fontId="0" fillId="6" borderId="1" xfId="0" applyFill="1" applyBorder="1" applyAlignment="1"/>
    <xf numFmtId="0" fontId="0" fillId="6" borderId="0" xfId="0" applyFill="1" applyAlignment="1"/>
    <xf numFmtId="0" fontId="3" fillId="0" borderId="0" xfId="0" applyFont="1">
      <alignment vertical="center"/>
    </xf>
    <xf numFmtId="0" fontId="4" fillId="0" borderId="1" xfId="6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0" borderId="2" xfId="0" applyFill="1" applyBorder="1" applyAlignment="1"/>
    <xf numFmtId="0" fontId="5" fillId="0" borderId="1" xfId="0" applyFont="1" applyBorder="1">
      <alignment vertical="center"/>
    </xf>
    <xf numFmtId="0" fontId="2" fillId="3" borderId="1" xfId="22" applyFont="1" applyFill="1" applyBorder="1" applyAlignment="1"/>
    <xf numFmtId="0" fontId="1" fillId="4" borderId="1" xfId="23" applyFont="1" applyFill="1" applyBorder="1" applyAlignment="1"/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shrinkToFit="1"/>
    </xf>
    <xf numFmtId="0" fontId="6" fillId="0" borderId="0" xfId="0" applyFont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/>
    <xf numFmtId="0" fontId="7" fillId="0" borderId="1" xfId="0" applyFont="1" applyBorder="1">
      <alignment vertical="center"/>
    </xf>
    <xf numFmtId="0" fontId="7" fillId="0" borderId="1" xfId="0" applyFont="1" applyBorder="1" applyAlignment="1">
      <alignment vertical="center" shrinkToFit="1"/>
    </xf>
    <xf numFmtId="0" fontId="8" fillId="0" borderId="1" xfId="0" applyFont="1" applyBorder="1">
      <alignment vertical="center"/>
    </xf>
    <xf numFmtId="0" fontId="7" fillId="0" borderId="1" xfId="0" applyFont="1" applyFill="1" applyBorder="1" applyAlignment="1"/>
    <xf numFmtId="0" fontId="7" fillId="0" borderId="1" xfId="0" applyFont="1" applyBorder="1" applyAlignment="1">
      <alignment vertical="center" wrapText="1"/>
    </xf>
    <xf numFmtId="0" fontId="0" fillId="0" borderId="0" xfId="0" applyFont="1">
      <alignment vertical="center"/>
    </xf>
    <xf numFmtId="0" fontId="6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showGridLines="0" workbookViewId="0">
      <pane ySplit="1" topLeftCell="A2" activePane="bottomLeft" state="frozen"/>
      <selection/>
      <selection pane="bottomLeft" activeCell="A11" sqref="$A7:$XFD11"/>
    </sheetView>
  </sheetViews>
  <sheetFormatPr defaultColWidth="9" defaultRowHeight="13.85"/>
  <cols>
    <col min="2" max="2" width="32" customWidth="1"/>
    <col min="3" max="3" width="10.3362831858407" customWidth="1"/>
    <col min="4" max="4" width="17.4159292035398" customWidth="1"/>
    <col min="5" max="5" width="19.3362831858407" customWidth="1"/>
    <col min="6" max="6" width="20" customWidth="1"/>
    <col min="7" max="7" width="16.3362831858407" customWidth="1"/>
    <col min="8" max="8" width="44.7522123893805" customWidth="1"/>
    <col min="9" max="9" width="16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/>
      <c r="I1" s="5"/>
      <c r="J1" s="5"/>
      <c r="K1" s="5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6" t="s">
        <v>0</v>
      </c>
      <c r="B2" s="6"/>
      <c r="C2" s="6"/>
      <c r="D2" s="6"/>
      <c r="E2" s="6"/>
      <c r="F2" s="6"/>
      <c r="G2" s="6" t="s">
        <v>11</v>
      </c>
      <c r="H2" s="6" t="s">
        <v>12</v>
      </c>
      <c r="I2" s="6" t="s">
        <v>5</v>
      </c>
      <c r="J2" s="6" t="s">
        <v>10</v>
      </c>
      <c r="K2" s="6" t="s">
        <v>8</v>
      </c>
      <c r="L2" s="6"/>
      <c r="M2" s="6"/>
    </row>
    <row r="3" spans="1:13">
      <c r="A3" s="8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/>
      <c r="G3" s="8" t="s">
        <v>18</v>
      </c>
      <c r="H3" s="8" t="s">
        <v>19</v>
      </c>
      <c r="I3" s="8" t="s">
        <v>20</v>
      </c>
      <c r="J3" s="8" t="s">
        <v>21</v>
      </c>
      <c r="K3" s="8"/>
      <c r="L3" s="8" t="s">
        <v>22</v>
      </c>
      <c r="M3" s="8"/>
    </row>
    <row r="5" s="23" customFormat="1" spans="1:13">
      <c r="A5" s="23" t="s">
        <v>23</v>
      </c>
      <c r="E5" s="13"/>
      <c r="L5"/>
      <c r="M5"/>
    </row>
    <row r="6" customFormat="1" spans="5:5">
      <c r="E6" s="13"/>
    </row>
    <row r="7" customFormat="1" spans="1:13">
      <c r="A7" s="14"/>
      <c r="B7" s="15" t="s">
        <v>24</v>
      </c>
      <c r="C7" s="15"/>
      <c r="D7" s="15"/>
      <c r="E7" s="16" t="s">
        <v>25</v>
      </c>
      <c r="F7" s="28" t="str">
        <f>E7</f>
        <v>有序集</v>
      </c>
      <c r="G7" s="15" t="s">
        <v>26</v>
      </c>
      <c r="H7" s="15" t="s">
        <v>27</v>
      </c>
      <c r="I7" s="15" t="s">
        <v>28</v>
      </c>
      <c r="J7" s="15"/>
      <c r="K7" s="15"/>
      <c r="M7" t="s">
        <v>29</v>
      </c>
    </row>
    <row r="8" customFormat="1" spans="7:11">
      <c r="G8" s="15" t="s">
        <v>30</v>
      </c>
      <c r="H8" s="15" t="s">
        <v>27</v>
      </c>
      <c r="I8" s="15"/>
      <c r="J8" s="15"/>
      <c r="K8" s="15"/>
    </row>
    <row r="9" customFormat="1" spans="7:11">
      <c r="G9" s="15" t="s">
        <v>31</v>
      </c>
      <c r="H9" s="15" t="s">
        <v>32</v>
      </c>
      <c r="I9" s="15"/>
      <c r="J9" s="15"/>
      <c r="K9" s="15"/>
    </row>
    <row r="11" customFormat="1" spans="1:13">
      <c r="A11" s="14"/>
      <c r="B11" s="15" t="s">
        <v>33</v>
      </c>
      <c r="C11" s="15"/>
      <c r="D11" s="15"/>
      <c r="E11" s="16" t="s">
        <v>34</v>
      </c>
      <c r="F11" s="28" t="str">
        <f>E11</f>
        <v>有序集成员</v>
      </c>
      <c r="G11" s="15" t="s">
        <v>35</v>
      </c>
      <c r="H11" s="15" t="s">
        <v>36</v>
      </c>
      <c r="I11" s="15"/>
      <c r="J11" s="15"/>
      <c r="K11" s="15"/>
      <c r="M11" t="s">
        <v>29</v>
      </c>
    </row>
    <row r="12" customFormat="1" spans="7:11">
      <c r="G12" s="15" t="s">
        <v>30</v>
      </c>
      <c r="H12" s="15" t="s">
        <v>27</v>
      </c>
      <c r="I12" s="15"/>
      <c r="J12" s="15"/>
      <c r="K12" s="15"/>
    </row>
    <row r="13" customFormat="1" spans="7:11">
      <c r="G13" s="15" t="s">
        <v>37</v>
      </c>
      <c r="H13" s="15" t="s">
        <v>38</v>
      </c>
      <c r="I13" s="15"/>
      <c r="J13" s="15"/>
      <c r="K13" s="15"/>
    </row>
    <row r="14" customFormat="1" spans="7:11">
      <c r="G14" s="15" t="s">
        <v>39</v>
      </c>
      <c r="H14" s="15" t="s">
        <v>40</v>
      </c>
      <c r="I14" s="15"/>
      <c r="J14" s="15"/>
      <c r="K14" s="15"/>
    </row>
    <row r="15" customFormat="1" spans="7:11">
      <c r="G15" s="15" t="s">
        <v>41</v>
      </c>
      <c r="H15" s="15" t="s">
        <v>42</v>
      </c>
      <c r="I15" s="15"/>
      <c r="J15" s="15"/>
      <c r="K15" s="15"/>
    </row>
  </sheetData>
  <mergeCells count="1">
    <mergeCell ref="G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showGridLines="0" topLeftCell="C1" workbookViewId="0">
      <pane ySplit="1" topLeftCell="A2" activePane="bottomLeft" state="frozen"/>
      <selection/>
      <selection pane="bottomLeft" activeCell="M49" sqref="M49"/>
    </sheetView>
  </sheetViews>
  <sheetFormatPr defaultColWidth="9" defaultRowHeight="13.85"/>
  <cols>
    <col min="2" max="2" width="28" customWidth="1"/>
    <col min="3" max="3" width="24.5840707964602" customWidth="1"/>
    <col min="4" max="4" width="19.5044247787611" customWidth="1"/>
    <col min="5" max="5" width="19.0796460176991" customWidth="1"/>
    <col min="6" max="6" width="44.0353982300885" customWidth="1"/>
    <col min="7" max="7" width="16.3362831858407" customWidth="1"/>
    <col min="8" max="8" width="31.3451327433628" customWidth="1"/>
    <col min="9" max="9" width="16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/>
      <c r="I1" s="5"/>
      <c r="J1" s="5"/>
      <c r="K1" s="5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6" t="s">
        <v>0</v>
      </c>
      <c r="B2" s="6"/>
      <c r="C2" s="6"/>
      <c r="D2" s="6"/>
      <c r="E2" s="6"/>
      <c r="F2" s="6"/>
      <c r="G2" s="6" t="s">
        <v>11</v>
      </c>
      <c r="H2" s="6" t="s">
        <v>12</v>
      </c>
      <c r="I2" s="6" t="s">
        <v>5</v>
      </c>
      <c r="J2" s="6" t="s">
        <v>10</v>
      </c>
      <c r="K2" s="6" t="s">
        <v>8</v>
      </c>
      <c r="L2" s="6"/>
      <c r="M2" s="6"/>
    </row>
    <row r="3" spans="1:13">
      <c r="A3" s="8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/>
      <c r="G3" s="8" t="s">
        <v>18</v>
      </c>
      <c r="H3" s="8" t="s">
        <v>19</v>
      </c>
      <c r="I3" s="8" t="s">
        <v>20</v>
      </c>
      <c r="J3" s="8" t="s">
        <v>21</v>
      </c>
      <c r="K3" s="8"/>
      <c r="L3" s="8" t="s">
        <v>22</v>
      </c>
      <c r="M3" s="8"/>
    </row>
    <row r="5" customFormat="1" spans="4:6">
      <c r="D5" s="23"/>
      <c r="E5" s="13"/>
      <c r="F5" s="34"/>
    </row>
    <row r="6" customFormat="1" spans="4:6">
      <c r="D6" s="23"/>
      <c r="E6" s="13"/>
      <c r="F6" s="34"/>
    </row>
    <row r="7" customFormat="1" spans="2:13">
      <c r="B7" s="15" t="s">
        <v>43</v>
      </c>
      <c r="C7" s="15"/>
      <c r="D7" s="35"/>
      <c r="E7" s="16"/>
      <c r="F7" s="36"/>
      <c r="G7" s="15" t="s">
        <v>44</v>
      </c>
      <c r="H7" s="15" t="s">
        <v>45</v>
      </c>
      <c r="I7" s="15"/>
      <c r="J7" s="15"/>
      <c r="K7" s="15"/>
      <c r="M7" t="s">
        <v>46</v>
      </c>
    </row>
    <row r="8" customFormat="1" spans="4:11">
      <c r="D8" s="23"/>
      <c r="E8" s="13"/>
      <c r="F8" s="34"/>
      <c r="G8" s="15" t="s">
        <v>47</v>
      </c>
      <c r="H8" s="15" t="s">
        <v>45</v>
      </c>
      <c r="I8" s="15"/>
      <c r="J8" s="15"/>
      <c r="K8" s="15"/>
    </row>
    <row r="9" customFormat="1" spans="4:6">
      <c r="D9" s="23"/>
      <c r="E9" s="13"/>
      <c r="F9" s="34"/>
    </row>
    <row r="10" customFormat="1" spans="4:6">
      <c r="D10" s="23"/>
      <c r="E10" s="13"/>
      <c r="F10" s="34"/>
    </row>
    <row r="11" customFormat="1" spans="1:13">
      <c r="A11" s="15"/>
      <c r="B11" s="15" t="s">
        <v>48</v>
      </c>
      <c r="C11" s="15"/>
      <c r="D11" s="15"/>
      <c r="E11" s="16" t="s">
        <v>49</v>
      </c>
      <c r="F11" s="28" t="str">
        <f>E11</f>
        <v>值提供者基类</v>
      </c>
      <c r="G11" s="15"/>
      <c r="H11" s="15"/>
      <c r="I11" s="15"/>
      <c r="J11" s="15"/>
      <c r="K11" s="15"/>
      <c r="M11" t="s">
        <v>46</v>
      </c>
    </row>
    <row r="12" customFormat="1" spans="4:6">
      <c r="D12" s="23"/>
      <c r="F12" s="34"/>
    </row>
    <row r="13" customFormat="1" spans="1:13">
      <c r="A13" s="15"/>
      <c r="B13" s="15" t="s">
        <v>50</v>
      </c>
      <c r="C13" s="15" t="s">
        <v>48</v>
      </c>
      <c r="D13" s="15"/>
      <c r="E13" s="16" t="s">
        <v>51</v>
      </c>
      <c r="F13" s="28" t="s">
        <v>52</v>
      </c>
      <c r="G13" s="28" t="s">
        <v>31</v>
      </c>
      <c r="H13" s="15" t="s">
        <v>53</v>
      </c>
      <c r="I13" s="15"/>
      <c r="J13" s="15"/>
      <c r="K13" s="28"/>
      <c r="M13" t="s">
        <v>46</v>
      </c>
    </row>
    <row r="15" customFormat="1" spans="1:13">
      <c r="A15" s="15"/>
      <c r="B15" s="15" t="s">
        <v>54</v>
      </c>
      <c r="C15" s="15" t="s">
        <v>48</v>
      </c>
      <c r="D15" s="15"/>
      <c r="E15" s="16" t="s">
        <v>55</v>
      </c>
      <c r="F15" s="28" t="s">
        <v>56</v>
      </c>
      <c r="G15" s="28" t="s">
        <v>31</v>
      </c>
      <c r="H15" s="15" t="s">
        <v>53</v>
      </c>
      <c r="I15" s="15"/>
      <c r="J15" s="15"/>
      <c r="K15" s="28"/>
      <c r="M15" t="s">
        <v>46</v>
      </c>
    </row>
    <row r="17" customFormat="1" spans="1:13">
      <c r="A17" s="15"/>
      <c r="B17" s="15" t="s">
        <v>57</v>
      </c>
      <c r="C17" s="15" t="s">
        <v>48</v>
      </c>
      <c r="D17" s="15"/>
      <c r="E17" s="16" t="s">
        <v>58</v>
      </c>
      <c r="F17" s="28"/>
      <c r="G17" s="28"/>
      <c r="H17" s="15"/>
      <c r="I17" s="15"/>
      <c r="J17" s="15"/>
      <c r="K17" s="28"/>
      <c r="M17" t="s">
        <v>46</v>
      </c>
    </row>
    <row r="19" customFormat="1" ht="13" customHeight="1" spans="1:13">
      <c r="A19" s="15"/>
      <c r="B19" s="15" t="s">
        <v>59</v>
      </c>
      <c r="C19" s="15" t="s">
        <v>57</v>
      </c>
      <c r="D19" s="15"/>
      <c r="E19" s="16" t="s">
        <v>60</v>
      </c>
      <c r="F19" s="28" t="str">
        <f>E19</f>
        <v>字符串值</v>
      </c>
      <c r="G19" s="28" t="s">
        <v>35</v>
      </c>
      <c r="H19" s="15" t="s">
        <v>27</v>
      </c>
      <c r="I19" s="15"/>
      <c r="J19" s="15"/>
      <c r="K19" s="28"/>
      <c r="M19" t="s">
        <v>46</v>
      </c>
    </row>
    <row r="20" ht="13" customHeight="1"/>
    <row r="21" customFormat="1" ht="13" customHeight="1" spans="1:13">
      <c r="A21" s="15"/>
      <c r="B21" s="15" t="s">
        <v>61</v>
      </c>
      <c r="C21" s="15" t="s">
        <v>57</v>
      </c>
      <c r="D21" s="15"/>
      <c r="E21" s="16" t="s">
        <v>62</v>
      </c>
      <c r="F21" s="28" t="str">
        <f>E21</f>
        <v>字面值</v>
      </c>
      <c r="G21" s="28" t="s">
        <v>35</v>
      </c>
      <c r="H21" s="15" t="s">
        <v>63</v>
      </c>
      <c r="I21" s="15"/>
      <c r="J21" s="15"/>
      <c r="K21" s="28"/>
      <c r="M21" t="s">
        <v>46</v>
      </c>
    </row>
    <row r="22" ht="13" customHeight="1"/>
    <row r="23" customFormat="1" ht="14" customHeight="1" spans="1:13">
      <c r="A23" s="15"/>
      <c r="B23" s="15" t="s">
        <v>64</v>
      </c>
      <c r="C23" s="15" t="s">
        <v>57</v>
      </c>
      <c r="D23" s="15"/>
      <c r="E23" s="16" t="s">
        <v>65</v>
      </c>
      <c r="F23" s="28" t="s">
        <v>66</v>
      </c>
      <c r="G23" s="28" t="s">
        <v>67</v>
      </c>
      <c r="H23" s="15" t="s">
        <v>68</v>
      </c>
      <c r="I23" s="15"/>
      <c r="J23" s="15"/>
      <c r="K23" s="28"/>
      <c r="M23" t="s">
        <v>46</v>
      </c>
    </row>
    <row r="25" customFormat="1" ht="14" customHeight="1" spans="1:13">
      <c r="A25" s="15"/>
      <c r="B25" s="15" t="s">
        <v>69</v>
      </c>
      <c r="C25" s="15" t="s">
        <v>57</v>
      </c>
      <c r="D25" s="15"/>
      <c r="E25" s="16" t="s">
        <v>70</v>
      </c>
      <c r="F25" s="28" t="s">
        <v>71</v>
      </c>
      <c r="G25" s="28" t="s">
        <v>72</v>
      </c>
      <c r="H25" s="28" t="s">
        <v>48</v>
      </c>
      <c r="I25" s="15" t="s">
        <v>73</v>
      </c>
      <c r="J25" s="15"/>
      <c r="K25" s="28"/>
      <c r="M25" t="s">
        <v>46</v>
      </c>
    </row>
    <row r="26" customFormat="1" ht="14" customHeight="1" spans="5:11">
      <c r="E26" s="13"/>
      <c r="F26" s="1"/>
      <c r="G26" s="15" t="s">
        <v>74</v>
      </c>
      <c r="H26" s="15" t="s">
        <v>75</v>
      </c>
      <c r="I26" s="15" t="s">
        <v>76</v>
      </c>
      <c r="J26" s="15"/>
      <c r="K26" s="28"/>
    </row>
    <row r="27" customFormat="1" ht="14" customHeight="1" spans="5:11">
      <c r="E27" s="13"/>
      <c r="F27" s="1"/>
      <c r="G27" s="28" t="s">
        <v>77</v>
      </c>
      <c r="H27" s="28" t="s">
        <v>48</v>
      </c>
      <c r="I27" s="15" t="s">
        <v>78</v>
      </c>
      <c r="J27" s="15"/>
      <c r="K27" s="28"/>
    </row>
    <row r="29" customFormat="1" ht="14" customHeight="1" spans="1:13">
      <c r="A29" s="15"/>
      <c r="B29" s="15" t="s">
        <v>79</v>
      </c>
      <c r="C29" s="15" t="s">
        <v>57</v>
      </c>
      <c r="D29" s="15"/>
      <c r="E29" s="16" t="s">
        <v>80</v>
      </c>
      <c r="F29" s="28" t="s">
        <v>81</v>
      </c>
      <c r="G29" s="28" t="s">
        <v>82</v>
      </c>
      <c r="H29" s="15" t="s">
        <v>83</v>
      </c>
      <c r="I29" s="15"/>
      <c r="J29" s="15"/>
      <c r="K29" s="28"/>
      <c r="M29" t="s">
        <v>46</v>
      </c>
    </row>
    <row r="31" customFormat="1" ht="14" customHeight="1" spans="1:13">
      <c r="A31" s="15"/>
      <c r="B31" s="15" t="s">
        <v>84</v>
      </c>
      <c r="C31" s="15" t="s">
        <v>57</v>
      </c>
      <c r="D31" s="15"/>
      <c r="E31" s="16" t="s">
        <v>85</v>
      </c>
      <c r="F31" s="28" t="s">
        <v>66</v>
      </c>
      <c r="G31" s="28" t="s">
        <v>67</v>
      </c>
      <c r="H31" s="15" t="s">
        <v>86</v>
      </c>
      <c r="I31" s="15"/>
      <c r="J31" s="15"/>
      <c r="K31" s="28"/>
      <c r="M31" t="s">
        <v>46</v>
      </c>
    </row>
    <row r="33" customFormat="1" spans="1:13">
      <c r="A33" s="15"/>
      <c r="B33" s="15" t="s">
        <v>87</v>
      </c>
      <c r="C33" s="15" t="s">
        <v>57</v>
      </c>
      <c r="D33" s="15"/>
      <c r="E33" s="16" t="s">
        <v>88</v>
      </c>
      <c r="F33" s="28" t="str">
        <f t="shared" ref="F33:F37" si="0">E33</f>
        <v>浮点值</v>
      </c>
      <c r="G33" s="28" t="s">
        <v>35</v>
      </c>
      <c r="H33" s="15" t="s">
        <v>89</v>
      </c>
      <c r="I33" s="15" t="s">
        <v>90</v>
      </c>
      <c r="J33" s="15"/>
      <c r="K33" s="28"/>
      <c r="M33" t="s">
        <v>46</v>
      </c>
    </row>
    <row r="35" customFormat="1" spans="1:13">
      <c r="A35" s="15"/>
      <c r="B35" s="15" t="s">
        <v>91</v>
      </c>
      <c r="C35" s="15" t="s">
        <v>57</v>
      </c>
      <c r="D35" s="15" t="s">
        <v>92</v>
      </c>
      <c r="E35" s="16" t="s">
        <v>93</v>
      </c>
      <c r="F35" s="28" t="str">
        <f t="shared" si="0"/>
        <v>常量值</v>
      </c>
      <c r="G35" s="28" t="s">
        <v>94</v>
      </c>
      <c r="H35" s="15" t="s">
        <v>95</v>
      </c>
      <c r="I35" s="15" t="s">
        <v>96</v>
      </c>
      <c r="J35" s="15"/>
      <c r="K35" s="28"/>
      <c r="M35" t="s">
        <v>46</v>
      </c>
    </row>
    <row r="37" customFormat="1" ht="69.4" spans="1:13">
      <c r="A37" s="15"/>
      <c r="B37" s="15" t="s">
        <v>97</v>
      </c>
      <c r="C37" s="15" t="s">
        <v>57</v>
      </c>
      <c r="D37" s="15"/>
      <c r="E37" s="16" t="s">
        <v>98</v>
      </c>
      <c r="F37" s="37" t="s">
        <v>99</v>
      </c>
      <c r="G37" s="28" t="s">
        <v>100</v>
      </c>
      <c r="H37" s="15" t="s">
        <v>48</v>
      </c>
      <c r="I37" s="15"/>
      <c r="J37" s="15"/>
      <c r="K37" s="28"/>
      <c r="M37" t="s">
        <v>46</v>
      </c>
    </row>
    <row r="38" spans="7:8">
      <c r="G38" s="28" t="s">
        <v>101</v>
      </c>
      <c r="H38" s="15" t="s">
        <v>48</v>
      </c>
    </row>
    <row r="41" customFormat="1" ht="55.5" spans="1:13">
      <c r="A41" s="15"/>
      <c r="B41" s="15" t="s">
        <v>102</v>
      </c>
      <c r="C41" s="15" t="s">
        <v>57</v>
      </c>
      <c r="D41" s="15"/>
      <c r="E41" s="16" t="s">
        <v>103</v>
      </c>
      <c r="F41" s="37" t="s">
        <v>104</v>
      </c>
      <c r="G41" s="28" t="s">
        <v>105</v>
      </c>
      <c r="H41" s="15" t="s">
        <v>106</v>
      </c>
      <c r="I41" s="15" t="s">
        <v>107</v>
      </c>
      <c r="J41" s="15"/>
      <c r="K41" s="28"/>
      <c r="M41" t="s">
        <v>46</v>
      </c>
    </row>
    <row r="44" customFormat="1" ht="83.25" spans="1:13">
      <c r="A44" s="15"/>
      <c r="B44" s="15" t="s">
        <v>108</v>
      </c>
      <c r="C44" s="15" t="s">
        <v>57</v>
      </c>
      <c r="D44" s="15"/>
      <c r="E44" s="16" t="s">
        <v>109</v>
      </c>
      <c r="F44" s="37" t="s">
        <v>110</v>
      </c>
      <c r="G44" s="28" t="s">
        <v>100</v>
      </c>
      <c r="H44" s="15" t="s">
        <v>48</v>
      </c>
      <c r="I44" s="15" t="s">
        <v>111</v>
      </c>
      <c r="J44" s="15"/>
      <c r="K44" s="28"/>
      <c r="M44" t="s">
        <v>46</v>
      </c>
    </row>
    <row r="45" spans="7:11">
      <c r="G45" s="28" t="s">
        <v>101</v>
      </c>
      <c r="H45" s="15" t="s">
        <v>48</v>
      </c>
      <c r="I45" s="15" t="s">
        <v>112</v>
      </c>
      <c r="J45" s="15"/>
      <c r="K45" s="28"/>
    </row>
    <row r="46" spans="7:11">
      <c r="G46" s="28" t="s">
        <v>113</v>
      </c>
      <c r="H46" s="15" t="s">
        <v>48</v>
      </c>
      <c r="I46" s="15" t="s">
        <v>114</v>
      </c>
      <c r="J46" s="15"/>
      <c r="K46" s="28"/>
    </row>
    <row r="49" customFormat="1" ht="13.9" spans="1:13">
      <c r="A49" s="15"/>
      <c r="B49" s="15" t="s">
        <v>115</v>
      </c>
      <c r="C49" s="15" t="s">
        <v>57</v>
      </c>
      <c r="D49" s="15"/>
      <c r="E49" s="16" t="s">
        <v>116</v>
      </c>
      <c r="F49" s="38" t="s">
        <v>117</v>
      </c>
      <c r="G49" s="28" t="s">
        <v>118</v>
      </c>
      <c r="H49" s="15" t="s">
        <v>119</v>
      </c>
      <c r="I49" s="15" t="s">
        <v>120</v>
      </c>
      <c r="J49" s="15"/>
      <c r="K49" s="28"/>
      <c r="M49" t="s">
        <v>46</v>
      </c>
    </row>
    <row r="50" spans="7:11">
      <c r="G50" s="15" t="s">
        <v>121</v>
      </c>
      <c r="H50" s="15" t="s">
        <v>48</v>
      </c>
      <c r="I50" s="15" t="s">
        <v>122</v>
      </c>
      <c r="J50" s="15"/>
      <c r="K50" s="15"/>
    </row>
    <row r="51" spans="7:11">
      <c r="G51" s="15" t="s">
        <v>123</v>
      </c>
      <c r="H51" s="15" t="s">
        <v>48</v>
      </c>
      <c r="I51" s="15" t="s">
        <v>124</v>
      </c>
      <c r="J51" s="15"/>
      <c r="K51" s="15"/>
    </row>
    <row r="57" spans="4:4">
      <c r="D57" s="15"/>
    </row>
  </sheetData>
  <mergeCells count="1">
    <mergeCell ref="G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showGridLines="0" zoomScale="85" zoomScaleNormal="85" workbookViewId="0">
      <pane ySplit="1" topLeftCell="A2" activePane="bottomLeft" state="frozen"/>
      <selection/>
      <selection pane="bottomLeft" activeCell="M19" sqref="M19"/>
    </sheetView>
  </sheetViews>
  <sheetFormatPr defaultColWidth="9" defaultRowHeight="13.85"/>
  <cols>
    <col min="2" max="2" width="28.212389380531" customWidth="1"/>
    <col min="3" max="3" width="15.8318584070796" customWidth="1"/>
    <col min="4" max="4" width="25.5044247787611" customWidth="1"/>
    <col min="5" max="5" width="11" customWidth="1"/>
    <col min="6" max="6" width="20" customWidth="1"/>
    <col min="7" max="7" width="16.3362831858407" customWidth="1"/>
    <col min="8" max="8" width="37.8318584070796" customWidth="1"/>
    <col min="9" max="9" width="16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/>
      <c r="I1" s="5"/>
      <c r="J1" s="5"/>
      <c r="K1" s="5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6" t="s">
        <v>0</v>
      </c>
      <c r="B2" s="6"/>
      <c r="C2" s="6"/>
      <c r="D2" s="6"/>
      <c r="E2" s="6"/>
      <c r="F2" s="6"/>
      <c r="G2" s="6" t="s">
        <v>11</v>
      </c>
      <c r="H2" s="6" t="s">
        <v>12</v>
      </c>
      <c r="I2" s="6" t="s">
        <v>5</v>
      </c>
      <c r="J2" s="6" t="s">
        <v>10</v>
      </c>
      <c r="K2" s="6" t="s">
        <v>8</v>
      </c>
      <c r="L2" s="6"/>
      <c r="M2" s="6"/>
    </row>
    <row r="3" spans="1:13">
      <c r="A3" s="8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/>
      <c r="G3" s="8" t="s">
        <v>18</v>
      </c>
      <c r="H3" s="8" t="s">
        <v>19</v>
      </c>
      <c r="I3" s="8" t="s">
        <v>20</v>
      </c>
      <c r="J3" s="8" t="s">
        <v>21</v>
      </c>
      <c r="K3" s="8"/>
      <c r="L3" s="8" t="s">
        <v>22</v>
      </c>
      <c r="M3" s="8"/>
    </row>
    <row r="5" spans="4:4">
      <c r="D5" s="23"/>
    </row>
    <row r="6" customFormat="1" spans="1:13">
      <c r="A6" s="15"/>
      <c r="B6" s="15" t="s">
        <v>125</v>
      </c>
      <c r="C6" s="15"/>
      <c r="D6" s="15"/>
      <c r="E6" s="16" t="s">
        <v>126</v>
      </c>
      <c r="F6" s="28" t="str">
        <f>E6</f>
        <v>比较符号</v>
      </c>
      <c r="G6" s="15" t="s">
        <v>127</v>
      </c>
      <c r="H6" s="15" t="s">
        <v>27</v>
      </c>
      <c r="I6" s="15"/>
      <c r="J6" s="15"/>
      <c r="K6" s="15"/>
      <c r="M6" t="s">
        <v>128</v>
      </c>
    </row>
    <row r="7" spans="4:4">
      <c r="D7" s="23"/>
    </row>
    <row r="8" customFormat="1" spans="1:13">
      <c r="A8" s="15"/>
      <c r="B8" s="15" t="s">
        <v>129</v>
      </c>
      <c r="C8" s="15"/>
      <c r="D8" s="15"/>
      <c r="E8" s="16" t="s">
        <v>130</v>
      </c>
      <c r="F8" s="17" t="str">
        <f>E8</f>
        <v>比较公式</v>
      </c>
      <c r="G8" s="15" t="s">
        <v>131</v>
      </c>
      <c r="H8" s="15" t="s">
        <v>125</v>
      </c>
      <c r="I8" s="15"/>
      <c r="J8" s="15"/>
      <c r="K8" s="15"/>
      <c r="M8" t="s">
        <v>128</v>
      </c>
    </row>
    <row r="9" customFormat="1" spans="4:11">
      <c r="D9" s="23"/>
      <c r="G9" s="15" t="s">
        <v>35</v>
      </c>
      <c r="H9" s="15" t="s">
        <v>63</v>
      </c>
      <c r="I9" s="15"/>
      <c r="J9" s="15"/>
      <c r="K9" s="15"/>
    </row>
    <row r="14" customFormat="1" spans="1:13">
      <c r="A14" s="15"/>
      <c r="B14" s="15" t="s">
        <v>75</v>
      </c>
      <c r="C14" s="15"/>
      <c r="D14" s="15"/>
      <c r="E14" s="16" t="s">
        <v>132</v>
      </c>
      <c r="F14" s="28" t="str">
        <f t="shared" ref="F14:F19" si="0">E14</f>
        <v>数学符号</v>
      </c>
      <c r="G14" s="15" t="s">
        <v>127</v>
      </c>
      <c r="H14" s="15" t="s">
        <v>27</v>
      </c>
      <c r="I14" s="15" t="s">
        <v>133</v>
      </c>
      <c r="J14" s="15"/>
      <c r="K14" s="15"/>
      <c r="M14" t="s">
        <v>128</v>
      </c>
    </row>
    <row r="15" customFormat="1" spans="4:4">
      <c r="D15" s="23"/>
    </row>
    <row r="16" customFormat="1" spans="1:13">
      <c r="A16" s="15"/>
      <c r="B16" s="15" t="s">
        <v>134</v>
      </c>
      <c r="C16" s="15"/>
      <c r="D16" s="15"/>
      <c r="E16" s="16" t="s">
        <v>135</v>
      </c>
      <c r="F16" s="17" t="str">
        <f t="shared" si="0"/>
        <v>数学公式</v>
      </c>
      <c r="G16" s="15" t="s">
        <v>74</v>
      </c>
      <c r="H16" s="15" t="s">
        <v>75</v>
      </c>
      <c r="I16" s="15"/>
      <c r="J16" s="15"/>
      <c r="K16" s="15"/>
      <c r="M16" t="s">
        <v>128</v>
      </c>
    </row>
    <row r="17" customFormat="1" spans="4:11">
      <c r="D17" s="23"/>
      <c r="G17" s="15" t="s">
        <v>35</v>
      </c>
      <c r="H17" s="15" t="s">
        <v>48</v>
      </c>
      <c r="I17" s="15"/>
      <c r="J17" s="15"/>
      <c r="K17" s="15"/>
    </row>
    <row r="19" customFormat="1" spans="1:13">
      <c r="A19" s="15"/>
      <c r="B19" s="15" t="s">
        <v>83</v>
      </c>
      <c r="C19" s="15"/>
      <c r="D19" s="15"/>
      <c r="E19" s="16" t="s">
        <v>136</v>
      </c>
      <c r="F19" s="17" t="str">
        <f t="shared" si="0"/>
        <v>数学公式链</v>
      </c>
      <c r="G19" s="15" t="s">
        <v>137</v>
      </c>
      <c r="H19" s="15" t="s">
        <v>138</v>
      </c>
      <c r="I19" s="15" t="s">
        <v>139</v>
      </c>
      <c r="J19" s="15"/>
      <c r="K19" s="15"/>
      <c r="M19" t="s">
        <v>128</v>
      </c>
    </row>
    <row r="42" spans="4:4">
      <c r="D42" s="15"/>
    </row>
  </sheetData>
  <mergeCells count="1">
    <mergeCell ref="G1:K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showGridLines="0" tabSelected="1" zoomScale="70" zoomScaleNormal="70" workbookViewId="0">
      <pane ySplit="1" topLeftCell="A2" activePane="bottomLeft" state="frozen"/>
      <selection/>
      <selection pane="bottomLeft" activeCell="H22" sqref="H22"/>
    </sheetView>
  </sheetViews>
  <sheetFormatPr defaultColWidth="9" defaultRowHeight="13.85"/>
  <cols>
    <col min="2" max="2" width="28.5044247787611" customWidth="1"/>
    <col min="3" max="3" width="19.8318584070796" customWidth="1"/>
    <col min="4" max="4" width="18.8318584070796" customWidth="1"/>
    <col min="5" max="5" width="14.7522123893805" customWidth="1"/>
    <col min="6" max="6" width="29.0176991150442" customWidth="1"/>
    <col min="7" max="7" width="16.3362831858407" customWidth="1"/>
    <col min="8" max="8" width="20.6637168141593" customWidth="1"/>
    <col min="9" max="9" width="16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/>
      <c r="I1" s="5"/>
      <c r="J1" s="5"/>
      <c r="K1" s="5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6" t="s">
        <v>0</v>
      </c>
      <c r="B2" s="6"/>
      <c r="C2" s="6"/>
      <c r="D2" s="6"/>
      <c r="E2" s="6"/>
      <c r="F2" s="6"/>
      <c r="G2" s="6" t="s">
        <v>11</v>
      </c>
      <c r="H2" s="6" t="s">
        <v>12</v>
      </c>
      <c r="I2" s="6" t="s">
        <v>5</v>
      </c>
      <c r="J2" s="6" t="s">
        <v>10</v>
      </c>
      <c r="K2" s="6" t="s">
        <v>8</v>
      </c>
      <c r="L2" s="6"/>
      <c r="M2" s="6"/>
    </row>
    <row r="3" spans="1:13">
      <c r="A3" s="8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/>
      <c r="G3" s="8" t="s">
        <v>18</v>
      </c>
      <c r="H3" s="8" t="s">
        <v>19</v>
      </c>
      <c r="I3" s="8" t="s">
        <v>20</v>
      </c>
      <c r="J3" s="8" t="s">
        <v>21</v>
      </c>
      <c r="K3" s="8"/>
      <c r="L3" s="8" t="s">
        <v>22</v>
      </c>
      <c r="M3" s="8"/>
    </row>
    <row r="5" spans="4:4">
      <c r="D5" s="23"/>
    </row>
    <row r="6" customFormat="1" spans="1:13">
      <c r="A6" s="15"/>
      <c r="B6" s="15" t="s">
        <v>119</v>
      </c>
      <c r="C6" s="15"/>
      <c r="D6" s="15"/>
      <c r="E6" s="16" t="s">
        <v>140</v>
      </c>
      <c r="F6" s="28" t="str">
        <f>E6</f>
        <v>逻辑适配器基类</v>
      </c>
      <c r="G6" s="15"/>
      <c r="H6" s="15"/>
      <c r="I6" s="15"/>
      <c r="J6" s="15"/>
      <c r="K6" s="15"/>
      <c r="L6" s="15"/>
      <c r="M6" t="s">
        <v>141</v>
      </c>
    </row>
    <row r="7" spans="4:4">
      <c r="D7" s="23"/>
    </row>
    <row r="8" customFormat="1" spans="1:13">
      <c r="A8" s="15"/>
      <c r="B8" s="15" t="s">
        <v>142</v>
      </c>
      <c r="C8" s="15" t="s">
        <v>119</v>
      </c>
      <c r="D8" s="15" t="s">
        <v>143</v>
      </c>
      <c r="E8" s="16" t="s">
        <v>144</v>
      </c>
      <c r="F8" s="28" t="s">
        <v>144</v>
      </c>
      <c r="G8" s="15" t="s">
        <v>145</v>
      </c>
      <c r="H8" s="15" t="s">
        <v>146</v>
      </c>
      <c r="I8" s="15"/>
      <c r="J8" s="15"/>
      <c r="K8" s="15"/>
      <c r="L8" s="15"/>
      <c r="M8" t="s">
        <v>141</v>
      </c>
    </row>
    <row r="9" customFormat="1" spans="5:6">
      <c r="E9" s="13"/>
      <c r="F9" s="1"/>
    </row>
    <row r="10" customFormat="1" spans="1:13">
      <c r="A10" s="15"/>
      <c r="B10" s="15" t="s">
        <v>147</v>
      </c>
      <c r="C10" s="15" t="s">
        <v>119</v>
      </c>
      <c r="D10" s="15"/>
      <c r="E10" s="16" t="s">
        <v>148</v>
      </c>
      <c r="F10" s="28" t="str">
        <f>E10</f>
        <v>单逻辑基类</v>
      </c>
      <c r="G10" s="15" t="s">
        <v>67</v>
      </c>
      <c r="H10" s="15" t="s">
        <v>149</v>
      </c>
      <c r="I10" s="15" t="s">
        <v>150</v>
      </c>
      <c r="J10" s="15"/>
      <c r="K10" s="15"/>
      <c r="L10" s="15"/>
      <c r="M10" t="s">
        <v>141</v>
      </c>
    </row>
    <row r="11" customFormat="1" spans="4:4">
      <c r="D11" s="23"/>
    </row>
    <row r="12" customFormat="1" spans="1:13">
      <c r="A12" s="15"/>
      <c r="B12" s="15" t="s">
        <v>151</v>
      </c>
      <c r="C12" s="15" t="s">
        <v>147</v>
      </c>
      <c r="D12" s="15" t="s">
        <v>152</v>
      </c>
      <c r="E12" s="16" t="s">
        <v>153</v>
      </c>
      <c r="F12" s="16" t="s">
        <v>153</v>
      </c>
      <c r="G12" s="15" t="s">
        <v>154</v>
      </c>
      <c r="H12" s="15" t="s">
        <v>27</v>
      </c>
      <c r="I12" s="15"/>
      <c r="J12" s="15"/>
      <c r="K12" s="15"/>
      <c r="L12" s="15"/>
      <c r="M12" t="s">
        <v>141</v>
      </c>
    </row>
    <row r="13" customFormat="1" spans="5:6">
      <c r="E13" s="13"/>
      <c r="F13" s="1"/>
    </row>
    <row r="14" customFormat="1" spans="1:13">
      <c r="A14" s="15"/>
      <c r="B14" s="15" t="s">
        <v>155</v>
      </c>
      <c r="C14" s="15" t="s">
        <v>147</v>
      </c>
      <c r="D14" s="15" t="s">
        <v>156</v>
      </c>
      <c r="E14" s="16" t="s">
        <v>157</v>
      </c>
      <c r="F14" s="28" t="str">
        <f>E14</f>
        <v>真</v>
      </c>
      <c r="G14" s="15"/>
      <c r="H14" s="15"/>
      <c r="I14" s="15"/>
      <c r="J14" s="15"/>
      <c r="K14" s="15"/>
      <c r="L14" s="15"/>
      <c r="M14" t="s">
        <v>141</v>
      </c>
    </row>
    <row r="15" customFormat="1" spans="5:6">
      <c r="E15" s="13"/>
      <c r="F15" s="1"/>
    </row>
    <row r="16" customFormat="1" spans="1:13">
      <c r="A16" s="15"/>
      <c r="B16" s="15" t="s">
        <v>158</v>
      </c>
      <c r="C16" s="15" t="s">
        <v>147</v>
      </c>
      <c r="D16" s="15" t="s">
        <v>159</v>
      </c>
      <c r="E16" s="16" t="s">
        <v>160</v>
      </c>
      <c r="F16" s="28" t="str">
        <f>E16</f>
        <v>假</v>
      </c>
      <c r="G16" s="15"/>
      <c r="H16" s="15"/>
      <c r="I16" s="15"/>
      <c r="J16" s="15"/>
      <c r="K16" s="15"/>
      <c r="L16" s="15"/>
      <c r="M16" t="s">
        <v>141</v>
      </c>
    </row>
    <row r="17" customFormat="1" spans="5:6">
      <c r="E17" s="13"/>
      <c r="F17" s="1"/>
    </row>
    <row r="18" customFormat="1" spans="1:13">
      <c r="A18" s="15"/>
      <c r="B18" s="15" t="s">
        <v>161</v>
      </c>
      <c r="C18" s="15" t="s">
        <v>147</v>
      </c>
      <c r="D18" s="15" t="s">
        <v>162</v>
      </c>
      <c r="E18" s="16" t="s">
        <v>163</v>
      </c>
      <c r="F18" s="28" t="s">
        <v>164</v>
      </c>
      <c r="G18" s="15" t="s">
        <v>165</v>
      </c>
      <c r="H18" s="15" t="s">
        <v>166</v>
      </c>
      <c r="I18" s="15"/>
      <c r="J18" s="15"/>
      <c r="K18" s="15"/>
      <c r="L18" s="15"/>
      <c r="M18" t="s">
        <v>141</v>
      </c>
    </row>
    <row r="19" customFormat="1" spans="5:6">
      <c r="E19" s="13"/>
      <c r="F19" s="1"/>
    </row>
    <row r="20" customFormat="1" spans="1:13">
      <c r="A20" s="15"/>
      <c r="B20" s="15" t="s">
        <v>167</v>
      </c>
      <c r="C20" s="15" t="s">
        <v>147</v>
      </c>
      <c r="D20" s="15" t="s">
        <v>168</v>
      </c>
      <c r="E20" s="16" t="s">
        <v>169</v>
      </c>
      <c r="F20" s="17" t="str">
        <f>E20</f>
        <v>值比较</v>
      </c>
      <c r="G20" s="15" t="s">
        <v>131</v>
      </c>
      <c r="H20" s="15" t="s">
        <v>170</v>
      </c>
      <c r="I20" s="15" t="s">
        <v>126</v>
      </c>
      <c r="J20" s="15"/>
      <c r="K20" s="15"/>
      <c r="L20" s="15"/>
      <c r="M20" t="s">
        <v>141</v>
      </c>
    </row>
    <row r="21" customFormat="1" spans="5:13">
      <c r="E21" s="13"/>
      <c r="F21" s="1"/>
      <c r="G21" s="15" t="s">
        <v>35</v>
      </c>
      <c r="H21" s="15" t="s">
        <v>45</v>
      </c>
      <c r="I21" s="15" t="s">
        <v>171</v>
      </c>
      <c r="J21" s="15"/>
      <c r="K21" s="15"/>
      <c r="L21" s="15"/>
      <c r="M21" s="15"/>
    </row>
    <row r="22" customFormat="1" spans="5:6">
      <c r="E22" s="13"/>
      <c r="F22" s="1"/>
    </row>
    <row r="23" customFormat="1" spans="1:13">
      <c r="A23" s="15"/>
      <c r="B23" s="15" t="s">
        <v>172</v>
      </c>
      <c r="C23" s="15" t="s">
        <v>147</v>
      </c>
      <c r="D23" s="15" t="s">
        <v>173</v>
      </c>
      <c r="E23" s="16" t="s">
        <v>174</v>
      </c>
      <c r="F23" s="17" t="str">
        <f>E23</f>
        <v>查询比较</v>
      </c>
      <c r="G23" s="15" t="s">
        <v>131</v>
      </c>
      <c r="H23" s="15" t="s">
        <v>170</v>
      </c>
      <c r="I23" s="15" t="s">
        <v>126</v>
      </c>
      <c r="J23" s="15"/>
      <c r="K23" s="15"/>
      <c r="L23" s="15"/>
      <c r="M23" t="s">
        <v>141</v>
      </c>
    </row>
    <row r="24" customFormat="1" spans="5:13">
      <c r="E24" s="13"/>
      <c r="F24" s="1"/>
      <c r="G24" s="15" t="s">
        <v>35</v>
      </c>
      <c r="H24" s="15" t="s">
        <v>64</v>
      </c>
      <c r="I24" s="15" t="s">
        <v>175</v>
      </c>
      <c r="J24" s="15"/>
      <c r="K24" s="15"/>
      <c r="L24" s="15"/>
      <c r="M24" s="15"/>
    </row>
    <row r="25" customFormat="1" spans="5:6">
      <c r="E25" s="13"/>
      <c r="F25" s="1"/>
    </row>
    <row r="26" customFormat="1" spans="1:13">
      <c r="A26" s="15"/>
      <c r="B26" s="15" t="s">
        <v>176</v>
      </c>
      <c r="C26" s="15" t="s">
        <v>119</v>
      </c>
      <c r="D26" s="15"/>
      <c r="E26" s="16" t="s">
        <v>177</v>
      </c>
      <c r="F26" s="28" t="str">
        <f>E26</f>
        <v>多逻辑基类</v>
      </c>
      <c r="G26" s="15" t="s">
        <v>178</v>
      </c>
      <c r="H26" s="15" t="s">
        <v>179</v>
      </c>
      <c r="I26" s="15" t="s">
        <v>180</v>
      </c>
      <c r="J26" s="15"/>
      <c r="K26" s="15"/>
      <c r="L26" s="15"/>
      <c r="M26" t="s">
        <v>141</v>
      </c>
    </row>
    <row r="29" customFormat="1" spans="1:13">
      <c r="A29" s="15"/>
      <c r="B29" s="15" t="s">
        <v>181</v>
      </c>
      <c r="C29" s="15" t="s">
        <v>176</v>
      </c>
      <c r="D29" s="15" t="s">
        <v>182</v>
      </c>
      <c r="E29" s="16" t="s">
        <v>183</v>
      </c>
      <c r="F29" s="28" t="s">
        <v>184</v>
      </c>
      <c r="G29" s="15"/>
      <c r="H29" s="15"/>
      <c r="I29" s="15"/>
      <c r="J29" s="15"/>
      <c r="K29" s="15"/>
      <c r="L29" s="15"/>
      <c r="M29" t="s">
        <v>141</v>
      </c>
    </row>
    <row r="31" customFormat="1" spans="1:13">
      <c r="A31" s="15"/>
      <c r="B31" s="15" t="s">
        <v>185</v>
      </c>
      <c r="C31" s="15" t="s">
        <v>176</v>
      </c>
      <c r="D31" s="15" t="s">
        <v>186</v>
      </c>
      <c r="E31" s="16" t="s">
        <v>187</v>
      </c>
      <c r="F31" s="28" t="s">
        <v>188</v>
      </c>
      <c r="G31" s="15"/>
      <c r="H31" s="15"/>
      <c r="I31" s="15"/>
      <c r="J31" s="15"/>
      <c r="K31" s="15"/>
      <c r="L31" s="15"/>
      <c r="M31" t="s">
        <v>141</v>
      </c>
    </row>
    <row r="32" spans="5:5">
      <c r="E32" s="13"/>
    </row>
    <row r="33" customFormat="1" spans="1:13">
      <c r="A33" s="15"/>
      <c r="B33" s="15" t="s">
        <v>189</v>
      </c>
      <c r="C33" s="15" t="s">
        <v>176</v>
      </c>
      <c r="D33" s="15" t="s">
        <v>190</v>
      </c>
      <c r="E33" s="16" t="s">
        <v>191</v>
      </c>
      <c r="F33" s="28" t="s">
        <v>192</v>
      </c>
      <c r="G33" s="15"/>
      <c r="H33" s="15"/>
      <c r="I33" s="15"/>
      <c r="J33" s="15"/>
      <c r="K33" s="15"/>
      <c r="L33" s="15"/>
      <c r="M33" t="s">
        <v>141</v>
      </c>
    </row>
    <row r="34" spans="5:5">
      <c r="E34" s="13"/>
    </row>
    <row r="35" customFormat="1" spans="1:13">
      <c r="A35" s="15"/>
      <c r="B35" s="15" t="s">
        <v>193</v>
      </c>
      <c r="C35" s="15" t="s">
        <v>176</v>
      </c>
      <c r="D35" s="15" t="s">
        <v>194</v>
      </c>
      <c r="E35" s="16" t="s">
        <v>195</v>
      </c>
      <c r="F35" s="28" t="s">
        <v>196</v>
      </c>
      <c r="G35" s="15"/>
      <c r="H35" s="15"/>
      <c r="I35" s="15"/>
      <c r="J35" s="15"/>
      <c r="K35" s="15"/>
      <c r="L35" s="15"/>
      <c r="M35" t="s">
        <v>141</v>
      </c>
    </row>
    <row r="57" spans="4:4">
      <c r="D57" s="15"/>
    </row>
  </sheetData>
  <mergeCells count="1">
    <mergeCell ref="G1:K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showGridLines="0" zoomScale="85" zoomScaleNormal="85" workbookViewId="0">
      <pane ySplit="1" topLeftCell="A2" activePane="bottomLeft" state="frozen"/>
      <selection/>
      <selection pane="bottomLeft" activeCell="M6" sqref="M6"/>
    </sheetView>
  </sheetViews>
  <sheetFormatPr defaultColWidth="9" defaultRowHeight="13.85"/>
  <cols>
    <col min="2" max="2" width="20.4159292035398" customWidth="1"/>
    <col min="3" max="3" width="24.5840707964602" customWidth="1"/>
    <col min="4" max="4" width="18.1681415929204" customWidth="1"/>
    <col min="5" max="5" width="17.1327433628319" customWidth="1"/>
    <col min="6" max="6" width="20" customWidth="1"/>
    <col min="7" max="7" width="16.3362831858407" customWidth="1"/>
    <col min="8" max="8" width="35.5752212389381" customWidth="1"/>
    <col min="9" max="9" width="23.9203539823009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/>
      <c r="I1" s="5"/>
      <c r="J1" s="5"/>
      <c r="K1" s="5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6" t="s">
        <v>0</v>
      </c>
      <c r="B2" s="6"/>
      <c r="C2" s="6"/>
      <c r="D2" s="6"/>
      <c r="E2" s="6"/>
      <c r="F2" s="6"/>
      <c r="G2" s="6" t="s">
        <v>11</v>
      </c>
      <c r="H2" s="6" t="s">
        <v>12</v>
      </c>
      <c r="I2" s="6" t="s">
        <v>5</v>
      </c>
      <c r="J2" s="6" t="s">
        <v>10</v>
      </c>
      <c r="K2" s="6" t="s">
        <v>8</v>
      </c>
      <c r="L2" s="6"/>
      <c r="M2" s="6"/>
    </row>
    <row r="3" spans="1:13">
      <c r="A3" s="8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/>
      <c r="G3" s="8" t="s">
        <v>18</v>
      </c>
      <c r="H3" s="8" t="s">
        <v>19</v>
      </c>
      <c r="I3" s="8" t="s">
        <v>20</v>
      </c>
      <c r="J3" s="8" t="s">
        <v>21</v>
      </c>
      <c r="K3" s="8"/>
      <c r="L3" s="8" t="s">
        <v>22</v>
      </c>
      <c r="M3" s="8"/>
    </row>
    <row r="5" spans="4:4">
      <c r="D5" s="23"/>
    </row>
    <row r="6" customFormat="1" spans="2:13">
      <c r="B6" s="15" t="s">
        <v>197</v>
      </c>
      <c r="C6" s="15"/>
      <c r="D6" s="15"/>
      <c r="E6" s="15" t="s">
        <v>198</v>
      </c>
      <c r="F6" s="15"/>
      <c r="G6" s="15" t="s">
        <v>199</v>
      </c>
      <c r="H6" s="15" t="s">
        <v>27</v>
      </c>
      <c r="I6" s="15"/>
      <c r="J6" s="15"/>
      <c r="K6" s="15"/>
      <c r="L6" s="15"/>
      <c r="M6" t="s">
        <v>200</v>
      </c>
    </row>
    <row r="8" spans="2:13">
      <c r="B8" s="15" t="s">
        <v>201</v>
      </c>
      <c r="C8" s="15"/>
      <c r="D8" s="15"/>
      <c r="E8" s="15" t="s">
        <v>202</v>
      </c>
      <c r="F8" s="15" t="s">
        <v>203</v>
      </c>
      <c r="G8" s="15" t="s">
        <v>199</v>
      </c>
      <c r="H8" s="15" t="s">
        <v>27</v>
      </c>
      <c r="I8" s="15"/>
      <c r="J8" s="15"/>
      <c r="K8" s="15"/>
      <c r="L8" s="15"/>
      <c r="M8" t="s">
        <v>200</v>
      </c>
    </row>
    <row r="10" customFormat="1" ht="13" customHeight="1" spans="1:13">
      <c r="A10" s="15"/>
      <c r="B10" s="15" t="s">
        <v>149</v>
      </c>
      <c r="C10" s="15"/>
      <c r="D10" s="15"/>
      <c r="E10" s="16" t="s">
        <v>204</v>
      </c>
      <c r="F10" s="28" t="str">
        <f>E10</f>
        <v>查询配置</v>
      </c>
      <c r="G10" s="15" t="s">
        <v>205</v>
      </c>
      <c r="H10" s="15" t="s">
        <v>201</v>
      </c>
      <c r="I10" s="15" t="s">
        <v>202</v>
      </c>
      <c r="J10" s="15"/>
      <c r="K10" s="15"/>
      <c r="L10" s="15"/>
      <c r="M10" t="s">
        <v>200</v>
      </c>
    </row>
    <row r="11" spans="7:13">
      <c r="G11" s="15" t="s">
        <v>206</v>
      </c>
      <c r="H11" s="15" t="s">
        <v>207</v>
      </c>
      <c r="I11" s="15" t="s">
        <v>208</v>
      </c>
      <c r="J11" s="15"/>
      <c r="K11" s="15"/>
      <c r="L11" s="15"/>
      <c r="M11" s="15"/>
    </row>
    <row r="13" customFormat="1" ht="13" customHeight="1" spans="1:13">
      <c r="A13" s="15"/>
      <c r="B13" s="15" t="s">
        <v>86</v>
      </c>
      <c r="C13" s="15"/>
      <c r="D13" s="15"/>
      <c r="E13" s="16" t="s">
        <v>209</v>
      </c>
      <c r="F13" s="28" t="str">
        <f>E13</f>
        <v>复杂查询</v>
      </c>
      <c r="G13" s="15" t="s">
        <v>205</v>
      </c>
      <c r="H13" s="15" t="s">
        <v>201</v>
      </c>
      <c r="I13" s="15" t="s">
        <v>202</v>
      </c>
      <c r="J13" s="15"/>
      <c r="K13" s="15"/>
      <c r="L13" s="15"/>
      <c r="M13" t="s">
        <v>200</v>
      </c>
    </row>
    <row r="14" customFormat="1" spans="7:13">
      <c r="G14" s="15" t="s">
        <v>206</v>
      </c>
      <c r="H14" s="15" t="s">
        <v>210</v>
      </c>
      <c r="I14" s="15" t="s">
        <v>208</v>
      </c>
      <c r="J14" s="15"/>
      <c r="K14" s="15"/>
      <c r="L14" s="15"/>
      <c r="M14" s="15"/>
    </row>
    <row r="16" customFormat="1" ht="13" customHeight="1" spans="1:13">
      <c r="A16" s="15"/>
      <c r="B16" s="15" t="s">
        <v>211</v>
      </c>
      <c r="C16" s="15"/>
      <c r="D16" s="15"/>
      <c r="E16" s="16" t="s">
        <v>212</v>
      </c>
      <c r="F16" s="28" t="str">
        <f>E16</f>
        <v>行动基类</v>
      </c>
      <c r="G16" s="15"/>
      <c r="H16" s="15"/>
      <c r="I16" s="15"/>
      <c r="J16" s="15"/>
      <c r="K16" s="15"/>
      <c r="L16" s="15"/>
      <c r="M16" t="s">
        <v>200</v>
      </c>
    </row>
    <row r="18" customFormat="1" ht="13" customHeight="1" spans="1:13">
      <c r="A18" s="15"/>
      <c r="B18" s="15" t="s">
        <v>213</v>
      </c>
      <c r="C18" s="15" t="s">
        <v>211</v>
      </c>
      <c r="D18" s="15"/>
      <c r="E18" s="16" t="s">
        <v>214</v>
      </c>
      <c r="F18" s="28" t="str">
        <f>E18</f>
        <v>默认行动</v>
      </c>
      <c r="G18" s="15" t="s">
        <v>205</v>
      </c>
      <c r="H18" s="15" t="s">
        <v>201</v>
      </c>
      <c r="I18" s="15" t="s">
        <v>202</v>
      </c>
      <c r="J18" s="15"/>
      <c r="K18" s="15"/>
      <c r="L18" s="15"/>
      <c r="M18" t="s">
        <v>200</v>
      </c>
    </row>
    <row r="19" spans="7:13">
      <c r="G19" s="15" t="s">
        <v>206</v>
      </c>
      <c r="H19" s="15" t="s">
        <v>207</v>
      </c>
      <c r="I19" s="15" t="s">
        <v>208</v>
      </c>
      <c r="J19" s="15"/>
      <c r="K19" s="15"/>
      <c r="L19" s="15"/>
      <c r="M19" s="15"/>
    </row>
    <row r="21" customFormat="1" ht="13" customHeight="1" spans="1:13">
      <c r="A21" s="15"/>
      <c r="B21" s="15" t="s">
        <v>215</v>
      </c>
      <c r="C21" s="15" t="s">
        <v>211</v>
      </c>
      <c r="D21" s="15"/>
      <c r="E21" s="16" t="s">
        <v>216</v>
      </c>
      <c r="F21" s="28" t="s">
        <v>217</v>
      </c>
      <c r="G21" s="15" t="s">
        <v>205</v>
      </c>
      <c r="H21" s="15" t="s">
        <v>201</v>
      </c>
      <c r="I21" s="15" t="s">
        <v>202</v>
      </c>
      <c r="J21" s="15"/>
      <c r="K21" s="15"/>
      <c r="L21" s="15"/>
      <c r="M21" t="s">
        <v>200</v>
      </c>
    </row>
    <row r="22" customFormat="1" spans="7:9">
      <c r="G22" s="15" t="s">
        <v>206</v>
      </c>
      <c r="H22" s="15" t="s">
        <v>210</v>
      </c>
      <c r="I22" s="15" t="s">
        <v>208</v>
      </c>
    </row>
    <row r="26" customFormat="1" ht="13" customHeight="1" spans="1:13">
      <c r="A26" s="15"/>
      <c r="B26" s="15" t="s">
        <v>218</v>
      </c>
      <c r="C26" s="15" t="s">
        <v>211</v>
      </c>
      <c r="D26" s="15"/>
      <c r="E26" s="16" t="s">
        <v>219</v>
      </c>
      <c r="F26" s="28" t="s">
        <v>220</v>
      </c>
      <c r="G26" s="15" t="s">
        <v>118</v>
      </c>
      <c r="H26" s="15" t="s">
        <v>119</v>
      </c>
      <c r="I26" s="15"/>
      <c r="J26" s="15"/>
      <c r="K26" s="15"/>
      <c r="L26" s="15"/>
      <c r="M26" t="s">
        <v>200</v>
      </c>
    </row>
    <row r="27" spans="7:13">
      <c r="G27" s="15" t="s">
        <v>221</v>
      </c>
      <c r="H27" s="15" t="s">
        <v>211</v>
      </c>
      <c r="I27" s="15" t="s">
        <v>212</v>
      </c>
      <c r="J27" s="15"/>
      <c r="K27" s="15"/>
      <c r="L27" s="15"/>
      <c r="M27" s="15"/>
    </row>
    <row r="29" customFormat="1" ht="13" customHeight="1" spans="1:13">
      <c r="A29" s="15"/>
      <c r="B29" s="15" t="s">
        <v>222</v>
      </c>
      <c r="C29" s="15" t="s">
        <v>211</v>
      </c>
      <c r="D29" s="15"/>
      <c r="E29" s="16" t="s">
        <v>223</v>
      </c>
      <c r="F29" s="28" t="s">
        <v>224</v>
      </c>
      <c r="G29" s="15" t="s">
        <v>225</v>
      </c>
      <c r="H29" s="15" t="s">
        <v>226</v>
      </c>
      <c r="I29" s="15" t="s">
        <v>212</v>
      </c>
      <c r="J29" s="15"/>
      <c r="K29" s="15"/>
      <c r="L29" s="15"/>
      <c r="M29" t="s">
        <v>200</v>
      </c>
    </row>
    <row r="31" customFormat="1" ht="13" customHeight="1" spans="1:13">
      <c r="A31" s="15"/>
      <c r="B31" s="15" t="s">
        <v>227</v>
      </c>
      <c r="C31" s="15" t="s">
        <v>211</v>
      </c>
      <c r="D31" s="15"/>
      <c r="E31" s="16" t="s">
        <v>228</v>
      </c>
      <c r="F31" s="28" t="s">
        <v>229</v>
      </c>
      <c r="G31" s="15" t="s">
        <v>205</v>
      </c>
      <c r="H31" s="15" t="s">
        <v>201</v>
      </c>
      <c r="I31" s="15" t="s">
        <v>202</v>
      </c>
      <c r="J31" s="15"/>
      <c r="K31" s="15"/>
      <c r="L31" s="15"/>
      <c r="M31" t="s">
        <v>200</v>
      </c>
    </row>
    <row r="32" spans="7:9">
      <c r="G32" s="15" t="s">
        <v>206</v>
      </c>
      <c r="H32" s="15" t="s">
        <v>230</v>
      </c>
      <c r="I32" s="15" t="s">
        <v>231</v>
      </c>
    </row>
  </sheetData>
  <mergeCells count="1">
    <mergeCell ref="G1:K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showGridLines="0" workbookViewId="0">
      <pane ySplit="1" topLeftCell="A3" activePane="bottomLeft" state="frozen"/>
      <selection/>
      <selection pane="bottomLeft" activeCell="M6" sqref="M6"/>
    </sheetView>
  </sheetViews>
  <sheetFormatPr defaultColWidth="9" defaultRowHeight="13.85"/>
  <cols>
    <col min="2" max="2" width="20.4159292035398" customWidth="1"/>
    <col min="3" max="3" width="24.5840707964602" customWidth="1"/>
    <col min="4" max="4" width="18.0796460176991" customWidth="1"/>
    <col min="5" max="5" width="11" customWidth="1"/>
    <col min="6" max="6" width="20" customWidth="1"/>
    <col min="7" max="7" width="16.3362831858407" customWidth="1"/>
    <col min="8" max="8" width="37.8318584070796" customWidth="1"/>
    <col min="9" max="9" width="16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/>
      <c r="I1" s="5"/>
      <c r="J1" s="5"/>
      <c r="K1" s="5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6" t="s">
        <v>0</v>
      </c>
      <c r="B2" s="6"/>
      <c r="C2" s="6"/>
      <c r="D2" s="6"/>
      <c r="E2" s="6"/>
      <c r="F2" s="6"/>
      <c r="G2" s="6" t="s">
        <v>11</v>
      </c>
      <c r="H2" s="6" t="s">
        <v>12</v>
      </c>
      <c r="I2" s="6" t="s">
        <v>5</v>
      </c>
      <c r="J2" s="6" t="s">
        <v>10</v>
      </c>
      <c r="K2" s="6" t="s">
        <v>8</v>
      </c>
      <c r="L2" s="6"/>
      <c r="M2" s="6"/>
    </row>
    <row r="3" spans="1:13">
      <c r="A3" s="8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/>
      <c r="G3" s="8" t="s">
        <v>18</v>
      </c>
      <c r="H3" s="8" t="s">
        <v>19</v>
      </c>
      <c r="I3" s="8" t="s">
        <v>20</v>
      </c>
      <c r="J3" s="8" t="s">
        <v>21</v>
      </c>
      <c r="K3" s="8"/>
      <c r="L3" s="8" t="s">
        <v>22</v>
      </c>
      <c r="M3" s="8"/>
    </row>
    <row r="5" spans="4:4">
      <c r="D5" s="23"/>
    </row>
    <row r="6" customFormat="1" spans="1:13">
      <c r="A6" s="15"/>
      <c r="B6" s="15" t="s">
        <v>232</v>
      </c>
      <c r="C6" s="15"/>
      <c r="D6" s="15"/>
      <c r="E6" s="16" t="s">
        <v>233</v>
      </c>
      <c r="F6" s="17" t="str">
        <f>E6</f>
        <v>命令</v>
      </c>
      <c r="G6" s="15" t="s">
        <v>26</v>
      </c>
      <c r="H6" s="15" t="s">
        <v>27</v>
      </c>
      <c r="I6" s="15" t="s">
        <v>234</v>
      </c>
      <c r="J6" s="15"/>
      <c r="K6" s="15"/>
      <c r="L6" s="15"/>
      <c r="M6" t="s">
        <v>235</v>
      </c>
    </row>
    <row r="7" customFormat="1" spans="5:12">
      <c r="E7" s="13"/>
      <c r="F7" s="1"/>
      <c r="G7" s="15" t="s">
        <v>236</v>
      </c>
      <c r="H7" s="15" t="s">
        <v>237</v>
      </c>
      <c r="I7" s="15" t="s">
        <v>238</v>
      </c>
      <c r="J7" s="15"/>
      <c r="K7" s="15"/>
      <c r="L7" s="15"/>
    </row>
    <row r="8" customFormat="1" spans="5:12">
      <c r="E8" s="13"/>
      <c r="F8" s="1"/>
      <c r="G8" s="15" t="s">
        <v>239</v>
      </c>
      <c r="H8" s="15" t="s">
        <v>27</v>
      </c>
      <c r="I8" s="15" t="s">
        <v>240</v>
      </c>
      <c r="J8" s="15"/>
      <c r="K8" s="15"/>
      <c r="L8" s="15"/>
    </row>
    <row r="9" spans="4:12">
      <c r="D9" s="23"/>
      <c r="G9" s="15" t="s">
        <v>118</v>
      </c>
      <c r="H9" s="15" t="s">
        <v>119</v>
      </c>
      <c r="I9" s="15" t="s">
        <v>241</v>
      </c>
      <c r="J9" s="15"/>
      <c r="K9" s="15"/>
      <c r="L9" s="15"/>
    </row>
    <row r="10" spans="7:12">
      <c r="G10" s="15" t="s">
        <v>221</v>
      </c>
      <c r="H10" s="15" t="s">
        <v>213</v>
      </c>
      <c r="I10" s="15" t="s">
        <v>242</v>
      </c>
      <c r="J10" s="15"/>
      <c r="K10" s="15"/>
      <c r="L10" s="15"/>
    </row>
  </sheetData>
  <mergeCells count="1">
    <mergeCell ref="G1:K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showGridLines="0" workbookViewId="0">
      <pane ySplit="1" topLeftCell="A2" activePane="bottomLeft" state="frozen"/>
      <selection/>
      <selection pane="bottomLeft" activeCell="M9" sqref="M9"/>
    </sheetView>
  </sheetViews>
  <sheetFormatPr defaultColWidth="9" defaultRowHeight="13.85"/>
  <cols>
    <col min="2" max="2" width="24.787610619469" customWidth="1"/>
    <col min="3" max="3" width="24.5840707964602" customWidth="1"/>
    <col min="4" max="4" width="17.1238938053097" style="24" customWidth="1"/>
    <col min="5" max="5" width="16.5132743362832" customWidth="1"/>
    <col min="6" max="6" width="10.141592920354" customWidth="1"/>
    <col min="7" max="7" width="16.3362831858407" customWidth="1"/>
    <col min="8" max="8" width="37.8318584070796" customWidth="1"/>
    <col min="9" max="9" width="16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/>
      <c r="I1" s="5"/>
      <c r="J1" s="5"/>
      <c r="K1" s="5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6" t="s">
        <v>0</v>
      </c>
      <c r="B2" s="6"/>
      <c r="C2" s="6"/>
      <c r="D2" s="7"/>
      <c r="E2" s="6"/>
      <c r="F2" s="6"/>
      <c r="G2" s="6" t="s">
        <v>11</v>
      </c>
      <c r="H2" s="6" t="s">
        <v>12</v>
      </c>
      <c r="I2" s="6" t="s">
        <v>5</v>
      </c>
      <c r="J2" s="6" t="s">
        <v>10</v>
      </c>
      <c r="K2" s="6" t="s">
        <v>8</v>
      </c>
      <c r="L2" s="6"/>
      <c r="M2" s="6"/>
    </row>
    <row r="3" spans="1:13">
      <c r="A3" s="8" t="s">
        <v>13</v>
      </c>
      <c r="B3" s="8" t="s">
        <v>14</v>
      </c>
      <c r="C3" s="8" t="s">
        <v>15</v>
      </c>
      <c r="D3" s="9" t="s">
        <v>16</v>
      </c>
      <c r="E3" s="8" t="s">
        <v>17</v>
      </c>
      <c r="F3" s="8"/>
      <c r="G3" s="8" t="s">
        <v>18</v>
      </c>
      <c r="H3" s="8" t="s">
        <v>19</v>
      </c>
      <c r="I3" s="8" t="s">
        <v>20</v>
      </c>
      <c r="J3" s="8" t="s">
        <v>21</v>
      </c>
      <c r="K3" s="8"/>
      <c r="L3" s="8" t="s">
        <v>22</v>
      </c>
      <c r="M3" s="8"/>
    </row>
    <row r="5" s="23" customFormat="1" spans="4:13">
      <c r="D5" s="25"/>
      <c r="E5" s="13"/>
      <c r="L5"/>
      <c r="M5"/>
    </row>
    <row r="6" customFormat="1" spans="4:5">
      <c r="D6" s="24"/>
      <c r="E6" s="13"/>
    </row>
    <row r="7" s="23" customFormat="1" spans="1:13">
      <c r="A7" s="23" t="s">
        <v>243</v>
      </c>
      <c r="D7" s="25"/>
      <c r="E7" s="13"/>
      <c r="L7"/>
      <c r="M7"/>
    </row>
    <row r="8" customFormat="1" spans="4:5">
      <c r="D8" s="24"/>
      <c r="E8" s="13"/>
    </row>
    <row r="9" customFormat="1" ht="14" customHeight="1" spans="1:13">
      <c r="A9" s="15"/>
      <c r="B9" s="15" t="s">
        <v>244</v>
      </c>
      <c r="C9" s="15"/>
      <c r="D9" s="26"/>
      <c r="E9" s="16" t="s">
        <v>245</v>
      </c>
      <c r="F9" s="28"/>
      <c r="G9" s="15"/>
      <c r="H9" s="15"/>
      <c r="I9" s="15"/>
      <c r="J9" s="15"/>
      <c r="K9" s="15"/>
      <c r="M9" t="s">
        <v>246</v>
      </c>
    </row>
    <row r="11" s="23" customFormat="1" spans="1:5">
      <c r="A11" s="23" t="s">
        <v>247</v>
      </c>
      <c r="D11" s="25"/>
      <c r="E11" s="13"/>
    </row>
    <row r="12" customFormat="1" spans="4:5">
      <c r="D12" s="24"/>
      <c r="E12" s="13"/>
    </row>
    <row r="13" customFormat="1" ht="14" customHeight="1" spans="1:13">
      <c r="A13" s="15"/>
      <c r="B13" s="15" t="s">
        <v>248</v>
      </c>
      <c r="C13" s="15" t="s">
        <v>244</v>
      </c>
      <c r="D13" s="26"/>
      <c r="E13" s="16" t="s">
        <v>249</v>
      </c>
      <c r="F13" s="28"/>
      <c r="G13" s="15" t="s">
        <v>118</v>
      </c>
      <c r="H13" s="15" t="s">
        <v>232</v>
      </c>
      <c r="I13" s="15" t="s">
        <v>250</v>
      </c>
      <c r="J13" s="15"/>
      <c r="K13" s="15"/>
      <c r="M13" t="s">
        <v>246</v>
      </c>
    </row>
    <row r="14" customFormat="1" spans="4:5">
      <c r="D14" s="24"/>
      <c r="E14" s="13"/>
    </row>
    <row r="15" customFormat="1" spans="4:5">
      <c r="D15" s="24"/>
      <c r="E15" s="13"/>
    </row>
    <row r="16" s="23" customFormat="1" spans="1:13">
      <c r="A16" s="23" t="s">
        <v>251</v>
      </c>
      <c r="D16" s="25"/>
      <c r="E16" s="13"/>
      <c r="L16"/>
      <c r="M16"/>
    </row>
    <row r="17" customFormat="1" spans="4:5">
      <c r="D17" s="24"/>
      <c r="E17" s="13"/>
    </row>
    <row r="18" customFormat="1" ht="14" customHeight="1" spans="1:13">
      <c r="A18" s="15"/>
      <c r="B18" s="15" t="s">
        <v>252</v>
      </c>
      <c r="C18" s="15" t="s">
        <v>244</v>
      </c>
      <c r="D18" s="26" t="s">
        <v>253</v>
      </c>
      <c r="E18" s="16" t="s">
        <v>254</v>
      </c>
      <c r="F18" s="28" t="s">
        <v>255</v>
      </c>
      <c r="G18" s="15"/>
      <c r="H18" s="15"/>
      <c r="I18" s="15"/>
      <c r="J18" s="15"/>
      <c r="K18" s="15"/>
      <c r="M18" t="s">
        <v>246</v>
      </c>
    </row>
    <row r="19" customFormat="1" spans="4:11">
      <c r="D19" s="24"/>
      <c r="G19" s="15"/>
      <c r="H19" s="15"/>
      <c r="I19" s="15"/>
      <c r="J19" s="15"/>
      <c r="K19" s="15"/>
    </row>
    <row r="20" customFormat="1" ht="14" customHeight="1"/>
    <row r="21" customFormat="1"/>
    <row r="22" customFormat="1" ht="14" customHeight="1" spans="1:13">
      <c r="A22" s="29"/>
      <c r="B22" s="29" t="s">
        <v>256</v>
      </c>
      <c r="C22" s="29" t="s">
        <v>244</v>
      </c>
      <c r="D22" s="30" t="s">
        <v>257</v>
      </c>
      <c r="E22" s="31" t="s">
        <v>258</v>
      </c>
      <c r="F22" s="32" t="s">
        <v>259</v>
      </c>
      <c r="G22" s="29" t="s">
        <v>260</v>
      </c>
      <c r="H22" s="29" t="s">
        <v>261</v>
      </c>
      <c r="I22" s="33" t="s">
        <v>262</v>
      </c>
      <c r="J22" s="29"/>
      <c r="K22" s="29"/>
      <c r="M22" t="s">
        <v>246</v>
      </c>
    </row>
    <row r="23" customFormat="1"/>
    <row r="24" customFormat="1"/>
    <row r="25" s="23" customFormat="1" spans="1:5">
      <c r="A25" s="23" t="s">
        <v>263</v>
      </c>
      <c r="D25" s="25"/>
      <c r="E25" s="13"/>
    </row>
    <row r="26" customFormat="1" spans="4:5">
      <c r="D26" s="24"/>
      <c r="E26" s="13"/>
    </row>
    <row r="27" customFormat="1" ht="14" customHeight="1" spans="1:13">
      <c r="A27" s="15"/>
      <c r="B27" s="15" t="s">
        <v>264</v>
      </c>
      <c r="C27" s="15" t="s">
        <v>244</v>
      </c>
      <c r="D27" s="26" t="s">
        <v>265</v>
      </c>
      <c r="E27" s="16" t="s">
        <v>266</v>
      </c>
      <c r="F27" s="28"/>
      <c r="G27" s="15"/>
      <c r="H27" s="15"/>
      <c r="I27" s="15"/>
      <c r="J27" s="15"/>
      <c r="K27" s="15"/>
      <c r="M27" t="s">
        <v>246</v>
      </c>
    </row>
    <row r="28" customFormat="1"/>
    <row r="29" customFormat="1"/>
    <row r="30" s="23" customFormat="1" spans="1:13">
      <c r="A30" s="23" t="s">
        <v>267</v>
      </c>
      <c r="D30" s="25"/>
      <c r="E30" s="13"/>
      <c r="L30"/>
      <c r="M30"/>
    </row>
    <row r="31" customFormat="1" spans="4:5">
      <c r="D31" s="24"/>
      <c r="E31" s="13"/>
    </row>
    <row r="32" customFormat="1" ht="14" customHeight="1" spans="1:13">
      <c r="A32" s="15"/>
      <c r="B32" s="15" t="s">
        <v>268</v>
      </c>
      <c r="C32" s="15" t="s">
        <v>244</v>
      </c>
      <c r="D32" s="26" t="s">
        <v>269</v>
      </c>
      <c r="E32" s="16" t="s">
        <v>270</v>
      </c>
      <c r="F32" s="28"/>
      <c r="G32" s="15" t="s">
        <v>271</v>
      </c>
      <c r="H32" s="15" t="s">
        <v>45</v>
      </c>
      <c r="I32" s="15"/>
      <c r="J32" s="15"/>
      <c r="K32" s="15"/>
      <c r="M32" t="s">
        <v>246</v>
      </c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</sheetData>
  <mergeCells count="1">
    <mergeCell ref="G1:K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showGridLines="0" workbookViewId="0">
      <pane ySplit="1" topLeftCell="A2" activePane="bottomLeft" state="frozen"/>
      <selection/>
      <selection pane="bottomLeft" activeCell="M11" sqref="M11"/>
    </sheetView>
  </sheetViews>
  <sheetFormatPr defaultColWidth="9" defaultRowHeight="13.85"/>
  <cols>
    <col min="2" max="2" width="24.787610619469" customWidth="1"/>
    <col min="3" max="3" width="24.5840707964602" customWidth="1"/>
    <col min="4" max="4" width="8.1858407079646" style="24" customWidth="1"/>
    <col min="5" max="5" width="16.5132743362832" customWidth="1"/>
    <col min="6" max="6" width="10.141592920354" customWidth="1"/>
    <col min="7" max="7" width="16.3362831858407" customWidth="1"/>
    <col min="8" max="8" width="37.8318584070796" customWidth="1"/>
    <col min="9" max="9" width="16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/>
      <c r="I1" s="5"/>
      <c r="J1" s="5"/>
      <c r="K1" s="5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6" t="s">
        <v>0</v>
      </c>
      <c r="B2" s="6"/>
      <c r="C2" s="6"/>
      <c r="D2" s="7"/>
      <c r="E2" s="6"/>
      <c r="F2" s="6"/>
      <c r="G2" s="6" t="s">
        <v>11</v>
      </c>
      <c r="H2" s="6" t="s">
        <v>12</v>
      </c>
      <c r="I2" s="6" t="s">
        <v>5</v>
      </c>
      <c r="J2" s="6" t="s">
        <v>10</v>
      </c>
      <c r="K2" s="6" t="s">
        <v>8</v>
      </c>
      <c r="L2" s="6"/>
      <c r="M2" s="6"/>
    </row>
    <row r="3" spans="1:13">
      <c r="A3" s="8" t="s">
        <v>13</v>
      </c>
      <c r="B3" s="8" t="s">
        <v>14</v>
      </c>
      <c r="C3" s="8" t="s">
        <v>15</v>
      </c>
      <c r="D3" s="9" t="s">
        <v>16</v>
      </c>
      <c r="E3" s="8" t="s">
        <v>17</v>
      </c>
      <c r="F3" s="8"/>
      <c r="G3" s="8" t="s">
        <v>18</v>
      </c>
      <c r="H3" s="8" t="s">
        <v>19</v>
      </c>
      <c r="I3" s="8" t="s">
        <v>20</v>
      </c>
      <c r="J3" s="8" t="s">
        <v>21</v>
      </c>
      <c r="K3" s="8"/>
      <c r="L3" s="8" t="s">
        <v>22</v>
      </c>
      <c r="M3" s="8"/>
    </row>
    <row r="5" s="23" customFormat="1" spans="4:13">
      <c r="D5" s="25"/>
      <c r="E5" s="13"/>
      <c r="L5"/>
      <c r="M5"/>
    </row>
    <row r="6" customFormat="1" spans="4:5">
      <c r="D6" s="24"/>
      <c r="E6" s="13"/>
    </row>
    <row r="7" s="23" customFormat="1" spans="1:13">
      <c r="A7" s="23" t="s">
        <v>272</v>
      </c>
      <c r="D7" s="25"/>
      <c r="E7" s="13"/>
      <c r="L7"/>
      <c r="M7"/>
    </row>
    <row r="8" customFormat="1" spans="4:5">
      <c r="D8" s="24"/>
      <c r="E8" s="13"/>
    </row>
    <row r="9" customFormat="1" ht="14" customHeight="1" spans="1:13">
      <c r="A9" s="15"/>
      <c r="B9" s="15" t="s">
        <v>273</v>
      </c>
      <c r="C9" s="15" t="s">
        <v>244</v>
      </c>
      <c r="D9" s="26"/>
      <c r="E9" s="16" t="s">
        <v>274</v>
      </c>
      <c r="F9" s="28"/>
      <c r="G9" s="15"/>
      <c r="H9" s="15"/>
      <c r="I9" s="15"/>
      <c r="J9" s="15"/>
      <c r="K9" s="15"/>
      <c r="M9" t="s">
        <v>275</v>
      </c>
    </row>
    <row r="11" customFormat="1" ht="14" customHeight="1" spans="1:13">
      <c r="A11" s="15"/>
      <c r="B11" s="15" t="s">
        <v>276</v>
      </c>
      <c r="C11" s="15" t="s">
        <v>273</v>
      </c>
      <c r="D11" s="26"/>
      <c r="E11" s="16" t="s">
        <v>277</v>
      </c>
      <c r="F11" s="28"/>
      <c r="G11" s="15" t="s">
        <v>221</v>
      </c>
      <c r="H11" s="15" t="s">
        <v>213</v>
      </c>
      <c r="I11" s="15"/>
      <c r="J11" s="15"/>
      <c r="K11" s="15"/>
      <c r="M11" t="s">
        <v>275</v>
      </c>
    </row>
    <row r="13" customFormat="1"/>
    <row r="14" customFormat="1"/>
    <row r="15" customFormat="1"/>
    <row r="16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</sheetData>
  <mergeCells count="1">
    <mergeCell ref="G1:K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showGridLines="0" zoomScale="85" zoomScaleNormal="85" workbookViewId="0">
      <pane ySplit="1" topLeftCell="A2" activePane="bottomLeft" state="frozen"/>
      <selection/>
      <selection pane="bottomLeft" activeCell="M17" sqref="M17"/>
    </sheetView>
  </sheetViews>
  <sheetFormatPr defaultColWidth="9" defaultRowHeight="13.85"/>
  <cols>
    <col min="2" max="2" width="24.787610619469" customWidth="1"/>
    <col min="3" max="3" width="24.5840707964602" customWidth="1"/>
    <col min="4" max="4" width="8.1858407079646" style="24" customWidth="1"/>
    <col min="5" max="5" width="16.5132743362832" customWidth="1"/>
    <col min="6" max="6" width="21" customWidth="1"/>
    <col min="7" max="7" width="16.3362831858407" customWidth="1"/>
    <col min="8" max="8" width="15.7433628318584" customWidth="1"/>
    <col min="9" max="9" width="47.3362831858407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/>
      <c r="I1" s="5"/>
      <c r="J1" s="5"/>
      <c r="K1" s="5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6" t="s">
        <v>0</v>
      </c>
      <c r="B2" s="6"/>
      <c r="C2" s="6"/>
      <c r="D2" s="7"/>
      <c r="E2" s="6"/>
      <c r="F2" s="6"/>
      <c r="G2" s="6" t="s">
        <v>11</v>
      </c>
      <c r="H2" s="6" t="s">
        <v>12</v>
      </c>
      <c r="I2" s="6" t="s">
        <v>5</v>
      </c>
      <c r="J2" s="6" t="s">
        <v>10</v>
      </c>
      <c r="K2" s="6" t="s">
        <v>8</v>
      </c>
      <c r="L2" s="6"/>
      <c r="M2" s="6"/>
    </row>
    <row r="3" spans="1:13">
      <c r="A3" s="8" t="s">
        <v>13</v>
      </c>
      <c r="B3" s="8" t="s">
        <v>14</v>
      </c>
      <c r="C3" s="8" t="s">
        <v>15</v>
      </c>
      <c r="D3" s="9" t="s">
        <v>16</v>
      </c>
      <c r="E3" s="8" t="s">
        <v>17</v>
      </c>
      <c r="F3" s="8"/>
      <c r="G3" s="8" t="s">
        <v>18</v>
      </c>
      <c r="H3" s="8" t="s">
        <v>19</v>
      </c>
      <c r="I3" s="8" t="s">
        <v>20</v>
      </c>
      <c r="J3" s="8" t="s">
        <v>21</v>
      </c>
      <c r="K3" s="8"/>
      <c r="L3" s="8" t="s">
        <v>22</v>
      </c>
      <c r="M3" s="8"/>
    </row>
    <row r="5" s="23" customFormat="1" spans="4:13">
      <c r="D5" s="25"/>
      <c r="E5" s="13"/>
      <c r="L5"/>
      <c r="M5"/>
    </row>
    <row r="6" customFormat="1" spans="4:5">
      <c r="D6" s="24"/>
      <c r="E6" s="13"/>
    </row>
    <row r="7" s="23" customFormat="1" spans="1:13">
      <c r="A7" s="23" t="s">
        <v>278</v>
      </c>
      <c r="D7" s="25"/>
      <c r="E7" s="13"/>
      <c r="L7"/>
      <c r="M7"/>
    </row>
    <row r="8" customFormat="1" spans="4:5">
      <c r="D8" s="24"/>
      <c r="E8" s="13"/>
    </row>
    <row r="9" customFormat="1" ht="46" customHeight="1" spans="1:13">
      <c r="A9" s="15"/>
      <c r="B9" s="15" t="s">
        <v>279</v>
      </c>
      <c r="C9" s="15" t="s">
        <v>244</v>
      </c>
      <c r="D9" s="26"/>
      <c r="E9" s="16" t="s">
        <v>280</v>
      </c>
      <c r="F9" s="17"/>
      <c r="G9" s="15" t="s">
        <v>281</v>
      </c>
      <c r="H9" s="15" t="s">
        <v>27</v>
      </c>
      <c r="I9" s="27" t="s">
        <v>282</v>
      </c>
      <c r="J9" s="27" t="s">
        <v>283</v>
      </c>
      <c r="K9" s="15"/>
      <c r="M9" t="s">
        <v>284</v>
      </c>
    </row>
    <row r="10" customFormat="1" ht="14" customHeight="1" spans="4:11">
      <c r="D10" s="24"/>
      <c r="E10" s="13"/>
      <c r="F10" s="1"/>
      <c r="G10" s="15" t="s">
        <v>285</v>
      </c>
      <c r="H10" s="15" t="s">
        <v>27</v>
      </c>
      <c r="I10" s="15" t="s">
        <v>286</v>
      </c>
      <c r="J10" s="15"/>
      <c r="K10" s="15"/>
    </row>
    <row r="11" customFormat="1" ht="14" customHeight="1" spans="4:11">
      <c r="D11" s="24"/>
      <c r="E11" s="13"/>
      <c r="F11" s="1"/>
      <c r="G11" s="15" t="s">
        <v>206</v>
      </c>
      <c r="H11" s="15" t="s">
        <v>207</v>
      </c>
      <c r="I11" s="15" t="s">
        <v>287</v>
      </c>
      <c r="J11" s="15"/>
      <c r="K11" s="15"/>
    </row>
    <row r="13" customFormat="1" ht="14" customHeight="1" spans="1:13">
      <c r="A13" s="15"/>
      <c r="B13" s="15" t="s">
        <v>166</v>
      </c>
      <c r="C13" s="15" t="s">
        <v>279</v>
      </c>
      <c r="D13" s="26"/>
      <c r="E13" s="16" t="s">
        <v>288</v>
      </c>
      <c r="F13" s="28" t="s">
        <v>289</v>
      </c>
      <c r="G13" s="15"/>
      <c r="H13" s="15"/>
      <c r="I13" s="15"/>
      <c r="J13" s="15"/>
      <c r="K13" s="15"/>
      <c r="M13" t="s">
        <v>284</v>
      </c>
    </row>
    <row r="15" customFormat="1" ht="14" customHeight="1" spans="1:13">
      <c r="A15" s="15"/>
      <c r="B15" s="15" t="s">
        <v>290</v>
      </c>
      <c r="C15" s="15" t="s">
        <v>279</v>
      </c>
      <c r="D15" s="26"/>
      <c r="E15" s="16" t="s">
        <v>291</v>
      </c>
      <c r="F15" s="28" t="s">
        <v>292</v>
      </c>
      <c r="G15" s="15"/>
      <c r="H15" s="15"/>
      <c r="I15" s="15"/>
      <c r="J15" s="15"/>
      <c r="K15" s="15"/>
      <c r="M15" t="s">
        <v>284</v>
      </c>
    </row>
    <row r="16" customFormat="1"/>
    <row r="17" customFormat="1" ht="14" customHeight="1" spans="1:13">
      <c r="A17" s="15"/>
      <c r="B17" s="15" t="s">
        <v>293</v>
      </c>
      <c r="C17" s="15" t="s">
        <v>279</v>
      </c>
      <c r="D17" s="26"/>
      <c r="E17" s="16" t="s">
        <v>294</v>
      </c>
      <c r="F17" s="28" t="s">
        <v>295</v>
      </c>
      <c r="G17" s="15"/>
      <c r="H17" s="15"/>
      <c r="I17" s="15"/>
      <c r="J17" s="15"/>
      <c r="K17" s="15"/>
      <c r="M17" t="s">
        <v>284</v>
      </c>
    </row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</sheetData>
  <mergeCells count="1">
    <mergeCell ref="G1:K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showGridLines="0" zoomScale="85" zoomScaleNormal="85" workbookViewId="0">
      <pane ySplit="1" topLeftCell="A2" activePane="bottomLeft" state="frozen"/>
      <selection/>
      <selection pane="bottomLeft" activeCell="M9" sqref="M9"/>
    </sheetView>
  </sheetViews>
  <sheetFormatPr defaultColWidth="9" defaultRowHeight="13.85"/>
  <cols>
    <col min="2" max="2" width="24.787610619469" customWidth="1"/>
    <col min="3" max="3" width="24.5840707964602" customWidth="1"/>
    <col min="4" max="4" width="29.9203539823009" style="24" customWidth="1"/>
    <col min="5" max="5" width="16.5132743362832" customWidth="1"/>
    <col min="6" max="6" width="21" customWidth="1"/>
    <col min="7" max="7" width="16.3362831858407" customWidth="1"/>
    <col min="8" max="8" width="6" customWidth="1"/>
    <col min="9" max="9" width="47.3362831858407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/>
      <c r="I1" s="5"/>
      <c r="J1" s="5"/>
      <c r="K1" s="5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6" t="s">
        <v>0</v>
      </c>
      <c r="B2" s="6"/>
      <c r="C2" s="6"/>
      <c r="D2" s="7"/>
      <c r="E2" s="6"/>
      <c r="F2" s="6"/>
      <c r="G2" s="6" t="s">
        <v>11</v>
      </c>
      <c r="H2" s="6" t="s">
        <v>12</v>
      </c>
      <c r="I2" s="6" t="s">
        <v>5</v>
      </c>
      <c r="J2" s="6" t="s">
        <v>10</v>
      </c>
      <c r="K2" s="6" t="s">
        <v>8</v>
      </c>
      <c r="L2" s="6"/>
      <c r="M2" s="6"/>
    </row>
    <row r="3" spans="1:13">
      <c r="A3" s="8" t="s">
        <v>13</v>
      </c>
      <c r="B3" s="8" t="s">
        <v>14</v>
      </c>
      <c r="C3" s="8" t="s">
        <v>15</v>
      </c>
      <c r="D3" s="9" t="s">
        <v>16</v>
      </c>
      <c r="E3" s="8" t="s">
        <v>17</v>
      </c>
      <c r="F3" s="8"/>
      <c r="G3" s="8" t="s">
        <v>18</v>
      </c>
      <c r="H3" s="8" t="s">
        <v>19</v>
      </c>
      <c r="I3" s="8" t="s">
        <v>20</v>
      </c>
      <c r="J3" s="8" t="s">
        <v>21</v>
      </c>
      <c r="K3" s="8"/>
      <c r="L3" s="8" t="s">
        <v>22</v>
      </c>
      <c r="M3" s="8"/>
    </row>
    <row r="5" s="23" customFormat="1" spans="4:13">
      <c r="D5" s="25"/>
      <c r="E5" s="13"/>
      <c r="L5"/>
      <c r="M5"/>
    </row>
    <row r="6" customFormat="1" spans="4:5">
      <c r="D6" s="24"/>
      <c r="E6" s="13"/>
    </row>
    <row r="7" s="23" customFormat="1" spans="1:13">
      <c r="A7" s="23" t="s">
        <v>296</v>
      </c>
      <c r="D7" s="25"/>
      <c r="E7" s="13"/>
      <c r="L7"/>
      <c r="M7"/>
    </row>
    <row r="8" customFormat="1" spans="4:5">
      <c r="D8" s="24"/>
      <c r="E8" s="13"/>
    </row>
    <row r="9" customFormat="1" ht="46" customHeight="1" spans="1:13">
      <c r="A9" s="15"/>
      <c r="B9" s="15" t="s">
        <v>297</v>
      </c>
      <c r="C9" s="15" t="s">
        <v>298</v>
      </c>
      <c r="D9" s="26" t="s">
        <v>299</v>
      </c>
      <c r="E9" s="16" t="s">
        <v>300</v>
      </c>
      <c r="F9" s="16" t="s">
        <v>300</v>
      </c>
      <c r="G9" s="15"/>
      <c r="H9" s="15"/>
      <c r="I9" s="27"/>
      <c r="J9" s="27"/>
      <c r="K9" s="15"/>
      <c r="M9" t="s">
        <v>301</v>
      </c>
    </row>
    <row r="10" customFormat="1" ht="14" customHeight="1" spans="4:6">
      <c r="D10" s="24"/>
      <c r="E10" s="13"/>
      <c r="F10" s="1"/>
    </row>
    <row r="12" customFormat="1"/>
    <row r="13" customFormat="1"/>
    <row r="14" customFormat="1"/>
    <row r="15" customFormat="1"/>
    <row r="16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</sheetData>
  <mergeCells count="1">
    <mergeCell ref="G1:K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showGridLines="0" zoomScale="85" zoomScaleNormal="85" workbookViewId="0">
      <selection activeCell="M18" sqref="M18"/>
    </sheetView>
  </sheetViews>
  <sheetFormatPr defaultColWidth="9" defaultRowHeight="13.85"/>
  <cols>
    <col min="2" max="2" width="32" customWidth="1"/>
    <col min="3" max="3" width="10.3362831858407" customWidth="1"/>
    <col min="4" max="4" width="17.4159292035398" customWidth="1"/>
    <col min="5" max="5" width="19.3362831858407" customWidth="1"/>
    <col min="6" max="6" width="20" customWidth="1"/>
    <col min="7" max="7" width="16.3362831858407" customWidth="1"/>
    <col min="8" max="8" width="44.7522123893805" customWidth="1"/>
    <col min="9" max="9" width="28.0796460176991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/>
      <c r="I1" s="5"/>
      <c r="J1" s="5"/>
      <c r="K1" s="5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6" t="s">
        <v>0</v>
      </c>
      <c r="B2" s="6"/>
      <c r="C2" s="6"/>
      <c r="D2" s="6"/>
      <c r="E2" s="6"/>
      <c r="F2" s="6"/>
      <c r="G2" s="6" t="s">
        <v>11</v>
      </c>
      <c r="H2" s="6" t="s">
        <v>12</v>
      </c>
      <c r="I2" s="6" t="s">
        <v>5</v>
      </c>
      <c r="J2" s="6" t="s">
        <v>10</v>
      </c>
      <c r="K2" s="6" t="s">
        <v>8</v>
      </c>
      <c r="L2" s="6"/>
      <c r="M2" s="6"/>
    </row>
    <row r="3" spans="1:13">
      <c r="A3" s="8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/>
      <c r="G3" s="8" t="s">
        <v>18</v>
      </c>
      <c r="H3" s="8" t="s">
        <v>19</v>
      </c>
      <c r="I3" s="8" t="s">
        <v>20</v>
      </c>
      <c r="J3" s="8" t="s">
        <v>21</v>
      </c>
      <c r="K3" s="8"/>
      <c r="L3" s="8" t="s">
        <v>22</v>
      </c>
      <c r="M3" s="8"/>
    </row>
    <row r="4" customFormat="1"/>
    <row r="5" customFormat="1" spans="5:5">
      <c r="E5" s="13"/>
    </row>
    <row r="6" customFormat="1" spans="1:13">
      <c r="A6" s="14"/>
      <c r="B6" s="15" t="s">
        <v>146</v>
      </c>
      <c r="C6" s="15"/>
      <c r="D6" s="15"/>
      <c r="E6" s="16" t="s">
        <v>302</v>
      </c>
      <c r="F6" s="17" t="str">
        <f>E6</f>
        <v>时间范围</v>
      </c>
      <c r="G6" s="15" t="s">
        <v>303</v>
      </c>
      <c r="H6" s="15" t="s">
        <v>304</v>
      </c>
      <c r="I6" s="15" t="s">
        <v>305</v>
      </c>
      <c r="J6" s="15"/>
      <c r="K6" s="15"/>
      <c r="L6" s="15"/>
      <c r="M6" t="s">
        <v>306</v>
      </c>
    </row>
    <row r="7" customFormat="1" spans="7:13">
      <c r="G7" s="15" t="s">
        <v>307</v>
      </c>
      <c r="H7" s="15" t="s">
        <v>304</v>
      </c>
      <c r="I7" s="15" t="s">
        <v>308</v>
      </c>
      <c r="J7" s="15"/>
      <c r="K7" s="15"/>
      <c r="L7" s="15"/>
      <c r="M7" s="15"/>
    </row>
    <row r="9" spans="2:13">
      <c r="B9" s="15" t="s">
        <v>309</v>
      </c>
      <c r="C9" s="15"/>
      <c r="D9" s="15"/>
      <c r="E9" s="16" t="s">
        <v>310</v>
      </c>
      <c r="F9" s="17"/>
      <c r="G9" s="15" t="s">
        <v>26</v>
      </c>
      <c r="H9" s="15" t="s">
        <v>27</v>
      </c>
      <c r="I9" s="22"/>
      <c r="J9" s="15"/>
      <c r="K9" s="15"/>
      <c r="M9" t="s">
        <v>306</v>
      </c>
    </row>
    <row r="10" ht="18.75" spans="5:11">
      <c r="E10" s="13"/>
      <c r="F10" s="1"/>
      <c r="G10" s="15" t="s">
        <v>311</v>
      </c>
      <c r="H10" s="18" t="s">
        <v>312</v>
      </c>
      <c r="I10" s="15" t="s">
        <v>313</v>
      </c>
      <c r="J10" s="15"/>
      <c r="K10" s="15"/>
    </row>
    <row r="13" spans="2:13">
      <c r="B13" s="15" t="s">
        <v>314</v>
      </c>
      <c r="C13" s="15"/>
      <c r="D13" s="15"/>
      <c r="E13" s="15" t="s">
        <v>315</v>
      </c>
      <c r="F13" s="15"/>
      <c r="G13" s="19" t="s">
        <v>316</v>
      </c>
      <c r="H13" s="20" t="s">
        <v>27</v>
      </c>
      <c r="M13" t="s">
        <v>306</v>
      </c>
    </row>
    <row r="14" spans="7:8">
      <c r="G14" s="19" t="s">
        <v>317</v>
      </c>
      <c r="H14" s="20" t="s">
        <v>237</v>
      </c>
    </row>
    <row r="18" spans="2:13">
      <c r="B18" s="15" t="s">
        <v>318</v>
      </c>
      <c r="C18" s="15"/>
      <c r="D18" s="15"/>
      <c r="E18" s="15"/>
      <c r="F18" s="21" t="s">
        <v>319</v>
      </c>
      <c r="G18" s="15" t="s">
        <v>26</v>
      </c>
      <c r="H18" s="15" t="s">
        <v>27</v>
      </c>
      <c r="I18" s="15"/>
      <c r="J18" s="15"/>
      <c r="K18" s="15"/>
      <c r="L18" s="15"/>
      <c r="M18" t="s">
        <v>306</v>
      </c>
    </row>
    <row r="19" spans="7:13">
      <c r="G19" s="15" t="s">
        <v>35</v>
      </c>
      <c r="H19" s="15" t="s">
        <v>89</v>
      </c>
      <c r="I19" s="15"/>
      <c r="J19" s="15"/>
      <c r="K19" s="15"/>
      <c r="L19" s="15"/>
      <c r="M19" s="15"/>
    </row>
    <row r="20" spans="7:8">
      <c r="G20" t="s">
        <v>320</v>
      </c>
      <c r="H20" t="s">
        <v>321</v>
      </c>
    </row>
  </sheetData>
  <mergeCells count="1">
    <mergeCell ref="G1:K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M8" sqref="M8"/>
    </sheetView>
  </sheetViews>
  <sheetFormatPr defaultColWidth="9.02654867256637" defaultRowHeight="13.85"/>
  <sheetData>
    <row r="1" customFormat="1" spans="1:1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/>
      <c r="I1" s="5"/>
      <c r="J1" s="5"/>
      <c r="K1" s="5"/>
      <c r="L1" s="3" t="s">
        <v>7</v>
      </c>
      <c r="M1" s="3" t="s">
        <v>8</v>
      </c>
      <c r="N1" t="s">
        <v>9</v>
      </c>
      <c r="O1" t="s">
        <v>10</v>
      </c>
    </row>
    <row r="2" customFormat="1" spans="1:13">
      <c r="A2" s="6" t="s">
        <v>0</v>
      </c>
      <c r="B2" s="6"/>
      <c r="C2" s="6"/>
      <c r="D2" s="7"/>
      <c r="E2" s="6"/>
      <c r="F2" s="6"/>
      <c r="G2" s="6" t="s">
        <v>11</v>
      </c>
      <c r="H2" s="6" t="s">
        <v>12</v>
      </c>
      <c r="I2" s="6" t="s">
        <v>5</v>
      </c>
      <c r="J2" s="6" t="s">
        <v>10</v>
      </c>
      <c r="K2" s="6" t="s">
        <v>8</v>
      </c>
      <c r="L2" s="6"/>
      <c r="M2" s="6"/>
    </row>
    <row r="3" customFormat="1" spans="1:13">
      <c r="A3" s="8" t="s">
        <v>13</v>
      </c>
      <c r="B3" s="8" t="s">
        <v>14</v>
      </c>
      <c r="C3" s="8" t="s">
        <v>15</v>
      </c>
      <c r="D3" s="9" t="s">
        <v>16</v>
      </c>
      <c r="E3" s="8" t="s">
        <v>17</v>
      </c>
      <c r="F3" s="8"/>
      <c r="G3" s="8" t="s">
        <v>18</v>
      </c>
      <c r="H3" s="8" t="s">
        <v>19</v>
      </c>
      <c r="I3" s="8" t="s">
        <v>20</v>
      </c>
      <c r="J3" s="8" t="s">
        <v>21</v>
      </c>
      <c r="K3" s="8"/>
      <c r="L3" s="8" t="s">
        <v>22</v>
      </c>
      <c r="M3" s="8"/>
    </row>
    <row r="4" s="1" customFormat="1" spans="1:1">
      <c r="A4" s="10"/>
    </row>
    <row r="5" s="1" customFormat="1" spans="1:13">
      <c r="A5" s="10"/>
      <c r="B5" s="11" t="s">
        <v>322</v>
      </c>
      <c r="G5" s="1" t="s">
        <v>323</v>
      </c>
      <c r="H5" s="1" t="s">
        <v>89</v>
      </c>
      <c r="L5" s="1" t="s">
        <v>324</v>
      </c>
      <c r="M5" t="s">
        <v>301</v>
      </c>
    </row>
    <row r="6" s="1" customFormat="1" spans="1:8">
      <c r="A6" s="10"/>
      <c r="B6" s="12"/>
      <c r="G6" s="1" t="s">
        <v>325</v>
      </c>
      <c r="H6" s="1" t="s">
        <v>89</v>
      </c>
    </row>
    <row r="7" s="1" customFormat="1" spans="1:1">
      <c r="A7" s="10"/>
    </row>
    <row r="8" s="1" customFormat="1" spans="1:13">
      <c r="A8" s="10"/>
      <c r="B8" s="11" t="s">
        <v>326</v>
      </c>
      <c r="C8" s="1"/>
      <c r="D8" s="1"/>
      <c r="E8" s="1"/>
      <c r="F8" s="1"/>
      <c r="G8" s="1" t="s">
        <v>323</v>
      </c>
      <c r="H8" s="1" t="s">
        <v>89</v>
      </c>
      <c r="I8" s="1"/>
      <c r="J8" s="1"/>
      <c r="K8" s="1"/>
      <c r="L8" s="1" t="s">
        <v>324</v>
      </c>
      <c r="M8" t="s">
        <v>301</v>
      </c>
    </row>
    <row r="9" s="1" customFormat="1" spans="1:8">
      <c r="A9" s="10"/>
      <c r="B9" s="12"/>
      <c r="C9" s="1"/>
      <c r="D9" s="1"/>
      <c r="E9" s="1"/>
      <c r="F9" s="1"/>
      <c r="G9" s="1" t="s">
        <v>325</v>
      </c>
      <c r="H9" s="1" t="s">
        <v>89</v>
      </c>
    </row>
    <row r="10" s="1" customFormat="1" spans="1:8">
      <c r="A10" s="10"/>
      <c r="B10" s="12"/>
      <c r="C10" s="1"/>
      <c r="D10" s="1"/>
      <c r="E10" s="1"/>
      <c r="F10" s="1"/>
      <c r="G10" s="1" t="s">
        <v>327</v>
      </c>
      <c r="H10" s="1" t="s">
        <v>89</v>
      </c>
    </row>
    <row r="11" s="1" customFormat="1" spans="1:1">
      <c r="A11" s="10"/>
    </row>
  </sheetData>
  <mergeCells count="1">
    <mergeCell ref="G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有序集</vt:lpstr>
      <vt:lpstr>值</vt:lpstr>
      <vt:lpstr>符号</vt:lpstr>
      <vt:lpstr>逻辑</vt:lpstr>
      <vt:lpstr>能力</vt:lpstr>
      <vt:lpstr>命令</vt:lpstr>
      <vt:lpstr>插件</vt:lpstr>
      <vt:lpstr>触发器</vt:lpstr>
      <vt:lpstr>委托</vt:lpstr>
      <vt:lpstr>Roblox API</vt:lpstr>
      <vt:lpstr>其他</vt:lpstr>
      <vt:lpstr>Roblox 类型定义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王凯</cp:lastModifiedBy>
  <dcterms:created xsi:type="dcterms:W3CDTF">2021-08-04T03:08:00Z</dcterms:created>
  <dcterms:modified xsi:type="dcterms:W3CDTF">2024-12-05T02:33:24Z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4C554138720E4EFAA702B576A3885CF0</vt:lpwstr>
  </property>
  <property fmtid="{D5CDD505-2E9C-101B-9397-08002B2CF9AE}" pid="3" name="KSOProductBuildVer">
    <vt:lpwstr>2052-12.1.0.19302</vt:lpwstr>
  </property>
</Properties>
</file>